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te\Downloads\"/>
    </mc:Choice>
  </mc:AlternateContent>
  <xr:revisionPtr revIDLastSave="0" documentId="13_ncr:1_{7D7FEF11-4CF0-44E7-AB35-13C466D455FA}" xr6:coauthVersionLast="47" xr6:coauthVersionMax="47" xr10:uidLastSave="{00000000-0000-0000-0000-000000000000}"/>
  <bookViews>
    <workbookView xWindow="-108" yWindow="-108" windowWidth="23256" windowHeight="12456" tabRatio="500" firstSheet="5" activeTab="9" xr2:uid="{00000000-000D-0000-FFFF-FFFF00000000}"/>
  </bookViews>
  <sheets>
    <sheet name="Belltest1" sheetId="1" r:id="rId1"/>
    <sheet name="Belltest2" sheetId="2" r:id="rId2"/>
    <sheet name="Belltest3" sheetId="3" r:id="rId3"/>
    <sheet name="Belltest4" sheetId="4" r:id="rId4"/>
    <sheet name="Belltest5" sheetId="5" r:id="rId5"/>
    <sheet name="Belltest6" sheetId="6" r:id="rId6"/>
    <sheet name="Belltest7" sheetId="7" r:id="rId7"/>
    <sheet name="Belltest8" sheetId="8" r:id="rId8"/>
    <sheet name="Belltest9" sheetId="9" r:id="rId9"/>
    <sheet name="Belltest10" sheetId="10" r:id="rId10"/>
    <sheet name="Belltest11" sheetId="11" r:id="rId11"/>
    <sheet name="Belltest12" sheetId="12" r:id="rId12"/>
  </sheets>
  <definedNames>
    <definedName name="_xlnm.Print_Area" localSheetId="0">Belltest1!$B$1:$R$28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1" i="12" l="1"/>
  <c r="L21" i="12"/>
  <c r="K21" i="12"/>
  <c r="J21" i="12"/>
  <c r="R20" i="12"/>
  <c r="M20" i="12"/>
  <c r="P20" i="12" s="1"/>
  <c r="L20" i="12"/>
  <c r="K20" i="12"/>
  <c r="J20" i="12"/>
  <c r="M16" i="12"/>
  <c r="L16" i="12"/>
  <c r="K16" i="12"/>
  <c r="J16" i="12"/>
  <c r="M15" i="12"/>
  <c r="L15" i="12"/>
  <c r="K15" i="12"/>
  <c r="J15" i="12"/>
  <c r="R15" i="12" s="1"/>
  <c r="M11" i="12"/>
  <c r="L11" i="12"/>
  <c r="K11" i="12"/>
  <c r="J11" i="12"/>
  <c r="P10" i="12"/>
  <c r="M10" i="12"/>
  <c r="L10" i="12"/>
  <c r="R10" i="12" s="1"/>
  <c r="K10" i="12"/>
  <c r="J10" i="12"/>
  <c r="M6" i="12"/>
  <c r="L6" i="12"/>
  <c r="K6" i="12"/>
  <c r="J6" i="12"/>
  <c r="R5" i="12"/>
  <c r="R25" i="12" s="1"/>
  <c r="F12" i="12" s="1"/>
  <c r="M5" i="12"/>
  <c r="P5" i="12" s="1"/>
  <c r="L5" i="12"/>
  <c r="K5" i="12"/>
  <c r="J5" i="12"/>
  <c r="M21" i="11"/>
  <c r="L21" i="11"/>
  <c r="K21" i="11"/>
  <c r="J21" i="11"/>
  <c r="M20" i="11"/>
  <c r="L20" i="11"/>
  <c r="K20" i="11"/>
  <c r="P20" i="11" s="1"/>
  <c r="J20" i="11"/>
  <c r="M16" i="11"/>
  <c r="L16" i="11"/>
  <c r="K16" i="11"/>
  <c r="J16" i="11"/>
  <c r="M15" i="11"/>
  <c r="L15" i="11"/>
  <c r="K15" i="11"/>
  <c r="J15" i="11"/>
  <c r="R15" i="11" s="1"/>
  <c r="M11" i="11"/>
  <c r="L11" i="11"/>
  <c r="K11" i="11"/>
  <c r="J11" i="11"/>
  <c r="M10" i="11"/>
  <c r="L10" i="11"/>
  <c r="K10" i="11"/>
  <c r="J10" i="11"/>
  <c r="R10" i="11" s="1"/>
  <c r="M6" i="11"/>
  <c r="L6" i="11"/>
  <c r="K6" i="11"/>
  <c r="J6" i="11"/>
  <c r="M5" i="11"/>
  <c r="L5" i="11"/>
  <c r="K5" i="11"/>
  <c r="R5" i="11" s="1"/>
  <c r="J5" i="11"/>
  <c r="M21" i="10"/>
  <c r="L21" i="10"/>
  <c r="K21" i="10"/>
  <c r="J21" i="10"/>
  <c r="M20" i="10"/>
  <c r="L20" i="10"/>
  <c r="K20" i="10"/>
  <c r="J20" i="10"/>
  <c r="M16" i="10"/>
  <c r="L16" i="10"/>
  <c r="K16" i="10"/>
  <c r="J16" i="10"/>
  <c r="M15" i="10"/>
  <c r="L15" i="10"/>
  <c r="K15" i="10"/>
  <c r="J15" i="10"/>
  <c r="M11" i="10"/>
  <c r="L11" i="10"/>
  <c r="K11" i="10"/>
  <c r="J11" i="10"/>
  <c r="M10" i="10"/>
  <c r="L10" i="10"/>
  <c r="K10" i="10"/>
  <c r="J10" i="10"/>
  <c r="M6" i="10"/>
  <c r="L6" i="10"/>
  <c r="K6" i="10"/>
  <c r="J6" i="10"/>
  <c r="M5" i="10"/>
  <c r="L5" i="10"/>
  <c r="K5" i="10"/>
  <c r="J5" i="10"/>
  <c r="M21" i="9"/>
  <c r="L21" i="9"/>
  <c r="K21" i="9"/>
  <c r="J21" i="9"/>
  <c r="M20" i="9"/>
  <c r="L20" i="9"/>
  <c r="K20" i="9"/>
  <c r="J20" i="9"/>
  <c r="M16" i="9"/>
  <c r="L16" i="9"/>
  <c r="K16" i="9"/>
  <c r="J16" i="9"/>
  <c r="M15" i="9"/>
  <c r="L15" i="9"/>
  <c r="K15" i="9"/>
  <c r="J15" i="9"/>
  <c r="M11" i="9"/>
  <c r="L11" i="9"/>
  <c r="K11" i="9"/>
  <c r="J11" i="9"/>
  <c r="M10" i="9"/>
  <c r="L10" i="9"/>
  <c r="K10" i="9"/>
  <c r="J10" i="9"/>
  <c r="M6" i="9"/>
  <c r="L6" i="9"/>
  <c r="K6" i="9"/>
  <c r="J6" i="9"/>
  <c r="M5" i="9"/>
  <c r="L5" i="9"/>
  <c r="K5" i="9"/>
  <c r="J5" i="9"/>
  <c r="M21" i="8"/>
  <c r="L21" i="8"/>
  <c r="K21" i="8"/>
  <c r="J21" i="8"/>
  <c r="M20" i="8"/>
  <c r="L20" i="8"/>
  <c r="K20" i="8"/>
  <c r="J20" i="8"/>
  <c r="M16" i="8"/>
  <c r="L16" i="8"/>
  <c r="K16" i="8"/>
  <c r="J16" i="8"/>
  <c r="M15" i="8"/>
  <c r="L15" i="8"/>
  <c r="K15" i="8"/>
  <c r="J15" i="8"/>
  <c r="M11" i="8"/>
  <c r="L11" i="8"/>
  <c r="K11" i="8"/>
  <c r="J11" i="8"/>
  <c r="M10" i="8"/>
  <c r="L10" i="8"/>
  <c r="K10" i="8"/>
  <c r="J10" i="8"/>
  <c r="M6" i="8"/>
  <c r="L6" i="8"/>
  <c r="K6" i="8"/>
  <c r="J6" i="8"/>
  <c r="M5" i="8"/>
  <c r="L5" i="8"/>
  <c r="K5" i="8"/>
  <c r="J5" i="8"/>
  <c r="M21" i="7"/>
  <c r="L21" i="7"/>
  <c r="K21" i="7"/>
  <c r="J21" i="7"/>
  <c r="M20" i="7"/>
  <c r="L20" i="7"/>
  <c r="K20" i="7"/>
  <c r="J20" i="7"/>
  <c r="M16" i="7"/>
  <c r="L16" i="7"/>
  <c r="K16" i="7"/>
  <c r="J16" i="7"/>
  <c r="M15" i="7"/>
  <c r="L15" i="7"/>
  <c r="K15" i="7"/>
  <c r="J15" i="7"/>
  <c r="M11" i="7"/>
  <c r="L11" i="7"/>
  <c r="K11" i="7"/>
  <c r="J11" i="7"/>
  <c r="M10" i="7"/>
  <c r="L10" i="7"/>
  <c r="K10" i="7"/>
  <c r="J10" i="7"/>
  <c r="M6" i="7"/>
  <c r="L6" i="7"/>
  <c r="K6" i="7"/>
  <c r="J6" i="7"/>
  <c r="M5" i="7"/>
  <c r="L5" i="7"/>
  <c r="K5" i="7"/>
  <c r="J5" i="7"/>
  <c r="M21" i="6"/>
  <c r="L21" i="6"/>
  <c r="K21" i="6"/>
  <c r="J21" i="6"/>
  <c r="M20" i="6"/>
  <c r="L20" i="6"/>
  <c r="K20" i="6"/>
  <c r="J20" i="6"/>
  <c r="M16" i="6"/>
  <c r="L16" i="6"/>
  <c r="K16" i="6"/>
  <c r="J16" i="6"/>
  <c r="M15" i="6"/>
  <c r="L15" i="6"/>
  <c r="K15" i="6"/>
  <c r="J15" i="6"/>
  <c r="M11" i="6"/>
  <c r="L11" i="6"/>
  <c r="K11" i="6"/>
  <c r="J11" i="6"/>
  <c r="M10" i="6"/>
  <c r="L10" i="6"/>
  <c r="K10" i="6"/>
  <c r="J10" i="6"/>
  <c r="R10" i="6" s="1"/>
  <c r="M6" i="6"/>
  <c r="L6" i="6"/>
  <c r="K6" i="6"/>
  <c r="J6" i="6"/>
  <c r="M5" i="6"/>
  <c r="L5" i="6"/>
  <c r="K5" i="6"/>
  <c r="J5" i="6"/>
  <c r="M21" i="5"/>
  <c r="L21" i="5"/>
  <c r="K21" i="5"/>
  <c r="J21" i="5"/>
  <c r="M20" i="5"/>
  <c r="L20" i="5"/>
  <c r="K20" i="5"/>
  <c r="J20" i="5"/>
  <c r="M16" i="5"/>
  <c r="L16" i="5"/>
  <c r="K16" i="5"/>
  <c r="J16" i="5"/>
  <c r="M15" i="5"/>
  <c r="L15" i="5"/>
  <c r="K15" i="5"/>
  <c r="J15" i="5"/>
  <c r="R15" i="5" s="1"/>
  <c r="M11" i="5"/>
  <c r="L11" i="5"/>
  <c r="K11" i="5"/>
  <c r="J11" i="5"/>
  <c r="M10" i="5"/>
  <c r="L10" i="5"/>
  <c r="K10" i="5"/>
  <c r="J10" i="5"/>
  <c r="M6" i="5"/>
  <c r="L6" i="5"/>
  <c r="K6" i="5"/>
  <c r="J6" i="5"/>
  <c r="M5" i="5"/>
  <c r="L5" i="5"/>
  <c r="K5" i="5"/>
  <c r="J5" i="5"/>
  <c r="M21" i="4"/>
  <c r="L21" i="4"/>
  <c r="K21" i="4"/>
  <c r="J21" i="4"/>
  <c r="M20" i="4"/>
  <c r="L20" i="4"/>
  <c r="K20" i="4"/>
  <c r="J20" i="4"/>
  <c r="M16" i="4"/>
  <c r="L16" i="4"/>
  <c r="K16" i="4"/>
  <c r="J16" i="4"/>
  <c r="M15" i="4"/>
  <c r="L15" i="4"/>
  <c r="K15" i="4"/>
  <c r="J15" i="4"/>
  <c r="M11" i="4"/>
  <c r="L11" i="4"/>
  <c r="K11" i="4"/>
  <c r="J11" i="4"/>
  <c r="M10" i="4"/>
  <c r="L10" i="4"/>
  <c r="K10" i="4"/>
  <c r="J10" i="4"/>
  <c r="M6" i="4"/>
  <c r="L6" i="4"/>
  <c r="K6" i="4"/>
  <c r="J6" i="4"/>
  <c r="M5" i="4"/>
  <c r="L5" i="4"/>
  <c r="K5" i="4"/>
  <c r="J5" i="4"/>
  <c r="R5" i="4" s="1"/>
  <c r="M21" i="3"/>
  <c r="L21" i="3"/>
  <c r="K21" i="3"/>
  <c r="J21" i="3"/>
  <c r="M20" i="3"/>
  <c r="L20" i="3"/>
  <c r="K20" i="3"/>
  <c r="J20" i="3"/>
  <c r="M16" i="3"/>
  <c r="L16" i="3"/>
  <c r="K16" i="3"/>
  <c r="J16" i="3"/>
  <c r="M15" i="3"/>
  <c r="L15" i="3"/>
  <c r="K15" i="3"/>
  <c r="J15" i="3"/>
  <c r="R15" i="3" s="1"/>
  <c r="M11" i="3"/>
  <c r="L11" i="3"/>
  <c r="K11" i="3"/>
  <c r="J11" i="3"/>
  <c r="M10" i="3"/>
  <c r="L10" i="3"/>
  <c r="K10" i="3"/>
  <c r="J10" i="3"/>
  <c r="M6" i="3"/>
  <c r="L6" i="3"/>
  <c r="K6" i="3"/>
  <c r="J6" i="3"/>
  <c r="M5" i="3"/>
  <c r="L5" i="3"/>
  <c r="K5" i="3"/>
  <c r="J5" i="3"/>
  <c r="P5" i="3" s="1"/>
  <c r="M21" i="2"/>
  <c r="L21" i="2"/>
  <c r="K21" i="2"/>
  <c r="J21" i="2"/>
  <c r="M20" i="2"/>
  <c r="L20" i="2"/>
  <c r="K20" i="2"/>
  <c r="J20" i="2"/>
  <c r="M16" i="2"/>
  <c r="L16" i="2"/>
  <c r="K16" i="2"/>
  <c r="J16" i="2"/>
  <c r="M15" i="2"/>
  <c r="L15" i="2"/>
  <c r="K15" i="2"/>
  <c r="J15" i="2"/>
  <c r="M11" i="2"/>
  <c r="L11" i="2"/>
  <c r="K11" i="2"/>
  <c r="J11" i="2"/>
  <c r="M10" i="2"/>
  <c r="L10" i="2"/>
  <c r="K10" i="2"/>
  <c r="J10" i="2"/>
  <c r="M6" i="2"/>
  <c r="L6" i="2"/>
  <c r="K6" i="2"/>
  <c r="J6" i="2"/>
  <c r="M5" i="2"/>
  <c r="L5" i="2"/>
  <c r="K5" i="2"/>
  <c r="J5" i="2"/>
  <c r="J5" i="1"/>
  <c r="M21" i="1"/>
  <c r="L21" i="1"/>
  <c r="K21" i="1"/>
  <c r="J21" i="1"/>
  <c r="M20" i="1"/>
  <c r="L20" i="1"/>
  <c r="K20" i="1"/>
  <c r="J20" i="1"/>
  <c r="M16" i="1"/>
  <c r="L16" i="1"/>
  <c r="K16" i="1"/>
  <c r="J16" i="1"/>
  <c r="M15" i="1"/>
  <c r="L15" i="1"/>
  <c r="K15" i="1"/>
  <c r="J15" i="1"/>
  <c r="M11" i="1"/>
  <c r="L11" i="1"/>
  <c r="K11" i="1"/>
  <c r="J11" i="1"/>
  <c r="M10" i="1"/>
  <c r="L10" i="1"/>
  <c r="K10" i="1"/>
  <c r="J10" i="1"/>
  <c r="M6" i="1"/>
  <c r="L6" i="1"/>
  <c r="K6" i="1"/>
  <c r="J6" i="1"/>
  <c r="M5" i="1"/>
  <c r="L5" i="1"/>
  <c r="K5" i="1"/>
  <c r="P5" i="10" l="1"/>
  <c r="P15" i="12"/>
  <c r="P25" i="12" s="1"/>
  <c r="F11" i="12" s="1"/>
  <c r="R20" i="11"/>
  <c r="R25" i="11" s="1"/>
  <c r="F12" i="11" s="1"/>
  <c r="P15" i="11"/>
  <c r="P10" i="11"/>
  <c r="P5" i="11"/>
  <c r="P25" i="11" s="1"/>
  <c r="F11" i="11" s="1"/>
  <c r="R20" i="10"/>
  <c r="R10" i="10"/>
  <c r="R5" i="10"/>
  <c r="P20" i="10"/>
  <c r="R15" i="10"/>
  <c r="P10" i="10"/>
  <c r="P15" i="10"/>
  <c r="R10" i="8"/>
  <c r="R5" i="9"/>
  <c r="P20" i="9"/>
  <c r="R20" i="9"/>
  <c r="R20" i="8"/>
  <c r="R10" i="9"/>
  <c r="R15" i="9"/>
  <c r="R15" i="8"/>
  <c r="P5" i="9"/>
  <c r="R5" i="8"/>
  <c r="P10" i="9"/>
  <c r="P15" i="9"/>
  <c r="P20" i="8"/>
  <c r="P15" i="8"/>
  <c r="P10" i="8"/>
  <c r="P5" i="8"/>
  <c r="R15" i="7"/>
  <c r="R20" i="7"/>
  <c r="P10" i="7"/>
  <c r="R10" i="7"/>
  <c r="R5" i="7"/>
  <c r="P5" i="7"/>
  <c r="P15" i="7"/>
  <c r="P20" i="7"/>
  <c r="P5" i="5"/>
  <c r="R5" i="5"/>
  <c r="P20" i="6"/>
  <c r="R20" i="5"/>
  <c r="R20" i="4"/>
  <c r="P10" i="6"/>
  <c r="R10" i="5"/>
  <c r="R15" i="6"/>
  <c r="R5" i="6"/>
  <c r="R20" i="6"/>
  <c r="P5" i="6"/>
  <c r="P15" i="6"/>
  <c r="P10" i="5"/>
  <c r="P20" i="5"/>
  <c r="P15" i="5"/>
  <c r="R10" i="4"/>
  <c r="P20" i="4"/>
  <c r="R15" i="4"/>
  <c r="P5" i="4"/>
  <c r="P15" i="4"/>
  <c r="P10" i="4"/>
  <c r="R15" i="2"/>
  <c r="P20" i="3"/>
  <c r="R20" i="3"/>
  <c r="R20" i="2"/>
  <c r="R10" i="3"/>
  <c r="R10" i="2"/>
  <c r="P5" i="2"/>
  <c r="R5" i="3"/>
  <c r="P10" i="3"/>
  <c r="P15" i="3"/>
  <c r="R5" i="2"/>
  <c r="P15" i="2"/>
  <c r="P10" i="2"/>
  <c r="P20" i="2"/>
  <c r="R5" i="1"/>
  <c r="P5" i="1"/>
  <c r="R10" i="1"/>
  <c r="P10" i="1"/>
  <c r="R15" i="1"/>
  <c r="P15" i="1"/>
  <c r="R20" i="1"/>
  <c r="P20" i="1"/>
  <c r="R25" i="10" l="1"/>
  <c r="F12" i="10" s="1"/>
  <c r="P25" i="10"/>
  <c r="F11" i="10" s="1"/>
  <c r="R25" i="9"/>
  <c r="F12" i="9" s="1"/>
  <c r="R25" i="8"/>
  <c r="F12" i="8" s="1"/>
  <c r="P25" i="9"/>
  <c r="F11" i="9" s="1"/>
  <c r="P25" i="8"/>
  <c r="F11" i="8" s="1"/>
  <c r="R25" i="7"/>
  <c r="F12" i="7" s="1"/>
  <c r="P25" i="7"/>
  <c r="F11" i="7" s="1"/>
  <c r="R25" i="5"/>
  <c r="F12" i="5" s="1"/>
  <c r="R25" i="6"/>
  <c r="F12" i="6" s="1"/>
  <c r="P25" i="6"/>
  <c r="F11" i="6" s="1"/>
  <c r="P25" i="5"/>
  <c r="F11" i="5" s="1"/>
  <c r="R25" i="4"/>
  <c r="F12" i="4" s="1"/>
  <c r="P25" i="4"/>
  <c r="F11" i="4" s="1"/>
  <c r="R25" i="3"/>
  <c r="F12" i="3" s="1"/>
  <c r="R25" i="2"/>
  <c r="F12" i="2" s="1"/>
  <c r="P25" i="2"/>
  <c r="F11" i="2" s="1"/>
  <c r="P25" i="3"/>
  <c r="F11" i="3" s="1"/>
  <c r="P25" i="1"/>
  <c r="F11" i="1" s="1"/>
  <c r="R25" i="1"/>
  <c r="F12" i="1" s="1"/>
</calcChain>
</file>

<file path=xl/sharedStrings.xml><?xml version="1.0" encoding="utf-8"?>
<sst xmlns="http://schemas.openxmlformats.org/spreadsheetml/2006/main" count="384" uniqueCount="19">
  <si>
    <t>BELL TEST MEASUREMENT SHEET</t>
  </si>
  <si>
    <t>Alice</t>
  </si>
  <si>
    <t>0°</t>
  </si>
  <si>
    <t>45°</t>
  </si>
  <si>
    <t>90°</t>
  </si>
  <si>
    <t>135°</t>
  </si>
  <si>
    <t>Bob</t>
  </si>
  <si>
    <t>22.5°</t>
  </si>
  <si>
    <t>=</t>
  </si>
  <si>
    <t>67.5°</t>
  </si>
  <si>
    <t>®</t>
  </si>
  <si>
    <t>112.5°</t>
  </si>
  <si>
    <t>157.5°</t>
  </si>
  <si>
    <t>+</t>
  </si>
  <si>
    <t>-</t>
  </si>
  <si>
    <t>S =</t>
  </si>
  <si>
    <t>Sbar =</t>
  </si>
  <si>
    <t>S</t>
  </si>
  <si>
    <t>Sbar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</si>
</sst>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DAE3F3"/>
      </patternFill>
    </fill>
    <fill>
      <patternFill patternType="solid">
        <fgColor rgb="FFDAE3F3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0" applyFo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 applyAlignment="1">
      <alignment horizontal="right"/>
    </xf>
    <xf numFmtId="0" fontId="0" fillId="0" borderId="15" xfId="0" applyBorder="1"/>
    <xf numFmtId="0" fontId="0" fillId="3" borderId="16" xfId="0" applyFill="1" applyBorder="1"/>
    <xf numFmtId="0" fontId="0" fillId="4" borderId="16" xfId="0" applyFill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 textRotation="90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6</xdr:col>
      <xdr:colOff>362091</xdr:colOff>
      <xdr:row>26</xdr:row>
      <xdr:rowOff>160200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55400" y="2468880"/>
          <a:ext cx="2786760" cy="267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6</xdr:col>
      <xdr:colOff>285891</xdr:colOff>
      <xdr:row>26</xdr:row>
      <xdr:rowOff>137340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A8C83-CC79-4310-BDC7-F596DAFE338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9840" y="2377440"/>
          <a:ext cx="2697471" cy="253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6</xdr:col>
      <xdr:colOff>285891</xdr:colOff>
      <xdr:row>26</xdr:row>
      <xdr:rowOff>137340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B34F68-4B0D-423F-B94A-632F5A3C13D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9840" y="2377440"/>
          <a:ext cx="2697471" cy="253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6</xdr:col>
      <xdr:colOff>285891</xdr:colOff>
      <xdr:row>26</xdr:row>
      <xdr:rowOff>137340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82885A-491C-4DBD-8BC1-6C27DEEFC54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9840" y="2377440"/>
          <a:ext cx="2697471" cy="253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26</xdr:row>
      <xdr:rowOff>160200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499CAB-9755-43E9-9D72-D931D958F4C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9840" y="2400300"/>
          <a:ext cx="2621271" cy="253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26</xdr:row>
      <xdr:rowOff>160200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C258B-43E9-449C-8041-43EAC7D9E18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29840" y="2400300"/>
          <a:ext cx="2621271" cy="2537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49C1C3-1B32-4050-8D93-706CD8D0A51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568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38280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EB910-F2E5-4488-ACDA-35CE736DEDD2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59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38280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162BE1-BB8F-4A0F-BA15-724028DDCB7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59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38280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F8094-7020-40D8-8A07-47CF60AEA83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598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68760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D07D6-32F6-4BBB-B40A-20E0C3FAF14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629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552600</xdr:colOff>
      <xdr:row>13</xdr:row>
      <xdr:rowOff>0</xdr:rowOff>
    </xdr:from>
    <xdr:to>
      <xdr:col>7</xdr:col>
      <xdr:colOff>125871</xdr:colOff>
      <xdr:row>27</xdr:row>
      <xdr:rowOff>68760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CFC02-031B-44EB-8C28-1EBC3ED231B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71800" y="2407920"/>
          <a:ext cx="2621271" cy="2629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6"/>
  <sheetViews>
    <sheetView zoomScale="95" zoomScaleNormal="115" workbookViewId="0">
      <selection activeCell="U13" sqref="U13"/>
    </sheetView>
  </sheetViews>
  <sheetFormatPr defaultColWidth="8.6640625" defaultRowHeight="14.4" x14ac:dyDescent="0.3"/>
  <cols>
    <col min="2" max="2" width="2.6640625" customWidth="1"/>
    <col min="6" max="6" width="16.109375" bestFit="1" customWidth="1"/>
    <col min="10" max="13" width="8.77734375" bestFit="1" customWidth="1"/>
    <col min="16" max="16" width="16.109375" bestFit="1" customWidth="1"/>
    <col min="18" max="18" width="16.109375" bestFit="1" customWidth="1"/>
  </cols>
  <sheetData>
    <row r="1" spans="1:18" x14ac:dyDescent="0.3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x14ac:dyDescent="0.3">
      <c r="A5" s="1"/>
      <c r="B5" s="24" t="s">
        <v>6</v>
      </c>
      <c r="C5" s="1" t="s">
        <v>7</v>
      </c>
      <c r="D5" s="2">
        <v>2724</v>
      </c>
      <c r="E5" s="3">
        <v>2090</v>
      </c>
      <c r="F5" s="3">
        <v>268</v>
      </c>
      <c r="G5" s="4">
        <v>992</v>
      </c>
      <c r="J5" s="5">
        <f>+D5</f>
        <v>2724</v>
      </c>
      <c r="K5" s="5">
        <f>-D7</f>
        <v>-534</v>
      </c>
      <c r="L5" s="5">
        <f>-F5</f>
        <v>-268</v>
      </c>
      <c r="M5" s="5">
        <f>+F7</f>
        <v>1311</v>
      </c>
      <c r="O5" s="20" t="s">
        <v>8</v>
      </c>
      <c r="P5" s="20">
        <f>SUM(J5:M5)/SUM(J6:M6)</f>
        <v>0.66838949762249333</v>
      </c>
      <c r="Q5" s="20" t="s">
        <v>8</v>
      </c>
      <c r="R5" s="20">
        <f>SUM(J5:M5)/SUM(J6:M6)</f>
        <v>0.66838949762249333</v>
      </c>
    </row>
    <row r="6" spans="1:18" x14ac:dyDescent="0.3">
      <c r="A6" s="1"/>
      <c r="B6" s="24"/>
      <c r="C6" s="1" t="s">
        <v>9</v>
      </c>
      <c r="D6" s="6">
        <v>522</v>
      </c>
      <c r="E6" s="7">
        <v>1394</v>
      </c>
      <c r="F6" s="7">
        <v>1143</v>
      </c>
      <c r="G6" s="8">
        <v>367</v>
      </c>
      <c r="I6" s="9" t="s">
        <v>10</v>
      </c>
      <c r="J6" s="1">
        <f>+D5</f>
        <v>2724</v>
      </c>
      <c r="K6" s="1">
        <f>+D7</f>
        <v>534</v>
      </c>
      <c r="L6" s="1">
        <f>+F5</f>
        <v>268</v>
      </c>
      <c r="M6" s="1">
        <f>+F7</f>
        <v>1311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534</v>
      </c>
      <c r="E7" s="7">
        <v>535</v>
      </c>
      <c r="F7" s="7">
        <v>1311</v>
      </c>
      <c r="G7" s="8">
        <v>1201</v>
      </c>
    </row>
    <row r="8" spans="1:18" x14ac:dyDescent="0.3">
      <c r="A8" s="1"/>
      <c r="B8" s="24"/>
      <c r="C8" s="1" t="s">
        <v>12</v>
      </c>
      <c r="D8" s="10">
        <v>2316</v>
      </c>
      <c r="E8" s="11">
        <v>1129</v>
      </c>
      <c r="F8" s="11">
        <v>287</v>
      </c>
      <c r="G8" s="12">
        <v>1723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x14ac:dyDescent="0.3">
      <c r="A10" s="1"/>
      <c r="B10" s="1"/>
      <c r="J10" s="5">
        <f>+E5</f>
        <v>2090</v>
      </c>
      <c r="K10" s="5">
        <f>-E7</f>
        <v>-535</v>
      </c>
      <c r="L10" s="5">
        <f>-G5</f>
        <v>-992</v>
      </c>
      <c r="M10" s="5">
        <f>+G7</f>
        <v>1201</v>
      </c>
      <c r="O10" s="20" t="s">
        <v>8</v>
      </c>
      <c r="P10" s="20">
        <f>SUM(J10:M10)/SUM(J11:M11)</f>
        <v>0.36612702366127026</v>
      </c>
      <c r="Q10" s="20" t="s">
        <v>8</v>
      </c>
      <c r="R10" s="20">
        <f>SUM(J10:M10)/SUM(J11:M11)</f>
        <v>0.36612702366127026</v>
      </c>
    </row>
    <row r="11" spans="1:18" x14ac:dyDescent="0.3">
      <c r="A11" s="1"/>
      <c r="B11" s="1"/>
      <c r="E11" s="13" t="s">
        <v>15</v>
      </c>
      <c r="F11" s="14">
        <f>P25</f>
        <v>2.0068144625365409</v>
      </c>
      <c r="J11" s="1">
        <f>+E5</f>
        <v>2090</v>
      </c>
      <c r="K11" s="1">
        <f>+E7</f>
        <v>535</v>
      </c>
      <c r="L11" s="1">
        <f>+G5</f>
        <v>992</v>
      </c>
      <c r="M11" s="1">
        <f>+G7</f>
        <v>1201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0.57176397038417193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x14ac:dyDescent="0.3">
      <c r="A15" s="1"/>
      <c r="B15" s="1"/>
      <c r="J15" s="5">
        <f>+D6</f>
        <v>522</v>
      </c>
      <c r="K15" s="5">
        <f>-D8</f>
        <v>-2316</v>
      </c>
      <c r="L15" s="5">
        <f>-F6</f>
        <v>-1143</v>
      </c>
      <c r="M15" s="5">
        <f>+F8</f>
        <v>287</v>
      </c>
      <c r="O15" s="20" t="s">
        <v>8</v>
      </c>
      <c r="P15" s="20">
        <f>SUM(J15:M15)/SUM(J16:M16)</f>
        <v>-0.62089971883786321</v>
      </c>
      <c r="Q15" s="20" t="s">
        <v>8</v>
      </c>
      <c r="R15" s="20">
        <f>SUM(J15:M15)/SUM(J16:M16)</f>
        <v>-0.62089971883786321</v>
      </c>
    </row>
    <row r="16" spans="1:18" x14ac:dyDescent="0.3">
      <c r="A16" s="1"/>
      <c r="B16" s="1"/>
      <c r="J16" s="1">
        <f>+D6</f>
        <v>522</v>
      </c>
      <c r="K16" s="1">
        <f>+D8</f>
        <v>2316</v>
      </c>
      <c r="L16" s="1">
        <f>+F6</f>
        <v>1143</v>
      </c>
      <c r="M16" s="1">
        <f>+F8</f>
        <v>287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x14ac:dyDescent="0.3">
      <c r="A20" s="1"/>
      <c r="B20" s="1"/>
      <c r="J20" s="5">
        <f>E6</f>
        <v>1394</v>
      </c>
      <c r="K20" s="5">
        <f>-E8</f>
        <v>-1129</v>
      </c>
      <c r="L20" s="5">
        <f>-G6</f>
        <v>-367</v>
      </c>
      <c r="M20" s="5">
        <f>+G8</f>
        <v>1723</v>
      </c>
      <c r="O20" s="20" t="s">
        <v>8</v>
      </c>
      <c r="P20" s="20">
        <f>SUM(J20:M20)/SUM(J21:M21)</f>
        <v>0.35139822241491436</v>
      </c>
      <c r="Q20" s="20" t="s">
        <v>8</v>
      </c>
      <c r="R20" s="20">
        <f>SUM(J20:M20)/SUM(J21:M21)</f>
        <v>0.35139822241491436</v>
      </c>
    </row>
    <row r="21" spans="1:18" x14ac:dyDescent="0.3">
      <c r="A21" s="1"/>
      <c r="B21" s="1"/>
      <c r="J21" s="1">
        <f>+E6</f>
        <v>1394</v>
      </c>
      <c r="K21" s="1">
        <f>+E8</f>
        <v>1129</v>
      </c>
      <c r="L21" s="1">
        <f>+G6</f>
        <v>367</v>
      </c>
      <c r="M21" s="1">
        <f>+G8</f>
        <v>1723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5" spans="1:18" x14ac:dyDescent="0.3">
      <c r="P25" s="17">
        <f>P5+P10-P15+P20</f>
        <v>2.0068144625365409</v>
      </c>
      <c r="R25" s="18">
        <f>R5-R10-R15-R20</f>
        <v>0.57176397038417193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0833333333333304" right="0.70833333333333304" top="0.74791666666666701" bottom="0.74791666666666701" header="0.511811023622047" footer="0.511811023622047"/>
  <pageSetup paperSize="9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CBE8-4DB6-4A3F-83FA-44C4E8B44D8E}">
  <dimension ref="A1:R26"/>
  <sheetViews>
    <sheetView workbookViewId="0">
      <selection activeCell="G9" sqref="G9"/>
    </sheetView>
  </sheetViews>
  <sheetFormatPr defaultColWidth="8.6640625" defaultRowHeight="14.4" x14ac:dyDescent="0.3"/>
  <cols>
    <col min="2" max="2" width="2.6640625" customWidth="1"/>
    <col min="6" max="6" width="16.109375" bestFit="1" customWidth="1"/>
    <col min="10" max="13" width="8.77734375" bestFit="1" customWidth="1"/>
    <col min="16" max="16" width="16.109375" bestFit="1" customWidth="1"/>
    <col min="18" max="18" width="16.109375" bestFit="1" customWidth="1"/>
  </cols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2702</v>
      </c>
      <c r="E5" s="3">
        <v>2035</v>
      </c>
      <c r="F5" s="3">
        <v>284</v>
      </c>
      <c r="G5" s="4">
        <v>966</v>
      </c>
      <c r="J5" s="5">
        <f>+D5</f>
        <v>2702</v>
      </c>
      <c r="K5" s="5">
        <f>-D7</f>
        <v>-488</v>
      </c>
      <c r="L5" s="5">
        <f>-F5</f>
        <v>-284</v>
      </c>
      <c r="M5" s="5">
        <f>+F7</f>
        <v>1250</v>
      </c>
      <c r="O5" s="20" t="s">
        <v>8</v>
      </c>
      <c r="P5" s="20">
        <f>SUM(J5:M5)/SUM(J6:M6)</f>
        <v>0.6731583403895004</v>
      </c>
      <c r="Q5" s="20" t="s">
        <v>8</v>
      </c>
      <c r="R5" s="20">
        <f>SUM(J5:M5)/SUM(J6:M6)</f>
        <v>0.6731583403895004</v>
      </c>
    </row>
    <row r="6" spans="1:18" x14ac:dyDescent="0.3">
      <c r="A6" s="1"/>
      <c r="B6" s="24"/>
      <c r="C6" s="1" t="s">
        <v>9</v>
      </c>
      <c r="D6" s="6">
        <v>512</v>
      </c>
      <c r="E6" s="7">
        <v>1312</v>
      </c>
      <c r="F6" s="7">
        <v>1148</v>
      </c>
      <c r="G6" s="8">
        <v>359</v>
      </c>
      <c r="I6" s="9" t="s">
        <v>10</v>
      </c>
      <c r="J6" s="1">
        <f>+D5</f>
        <v>2702</v>
      </c>
      <c r="K6" s="1">
        <f>+D7</f>
        <v>488</v>
      </c>
      <c r="L6" s="1">
        <f>+F5</f>
        <v>284</v>
      </c>
      <c r="M6" s="1">
        <f>+F7</f>
        <v>1250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488</v>
      </c>
      <c r="E7" s="7">
        <v>557</v>
      </c>
      <c r="F7" s="7">
        <v>1250</v>
      </c>
      <c r="G7" s="8">
        <v>1232</v>
      </c>
    </row>
    <row r="8" spans="1:18" x14ac:dyDescent="0.3">
      <c r="A8" s="1"/>
      <c r="B8" s="24"/>
      <c r="C8" s="1" t="s">
        <v>12</v>
      </c>
      <c r="D8" s="10">
        <v>2330</v>
      </c>
      <c r="E8" s="11">
        <v>1107</v>
      </c>
      <c r="F8" s="11">
        <v>311</v>
      </c>
      <c r="G8" s="12">
        <v>1646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2035</v>
      </c>
      <c r="K10" s="5">
        <f>-E7</f>
        <v>-557</v>
      </c>
      <c r="L10" s="5">
        <f>-G5</f>
        <v>-966</v>
      </c>
      <c r="M10" s="5">
        <f>+G7</f>
        <v>1232</v>
      </c>
      <c r="O10" s="20" t="s">
        <v>8</v>
      </c>
      <c r="P10" s="20">
        <f>SUM(J10:M10)/SUM(J11:M11)</f>
        <v>0.36409185803757826</v>
      </c>
      <c r="Q10" s="20" t="s">
        <v>8</v>
      </c>
      <c r="R10" s="20">
        <f>SUM(J10:M10)/SUM(J11:M11)</f>
        <v>0.36409185803757826</v>
      </c>
    </row>
    <row r="11" spans="1:18" x14ac:dyDescent="0.3">
      <c r="A11" s="1"/>
      <c r="B11" s="1"/>
      <c r="E11" s="13" t="s">
        <v>15</v>
      </c>
      <c r="F11" s="14">
        <f>P25</f>
        <v>1.9917998573860742</v>
      </c>
      <c r="J11" s="1">
        <f>+E5</f>
        <v>2035</v>
      </c>
      <c r="K11" s="1">
        <f>+E7</f>
        <v>557</v>
      </c>
      <c r="L11" s="1">
        <f>+G5</f>
        <v>966</v>
      </c>
      <c r="M11" s="1">
        <f>+G7</f>
        <v>1232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0.5891134288335218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512</v>
      </c>
      <c r="K15" s="5">
        <f>-D8</f>
        <v>-2330</v>
      </c>
      <c r="L15" s="5">
        <f>-F6</f>
        <v>-1148</v>
      </c>
      <c r="M15" s="5">
        <f>+F8</f>
        <v>311</v>
      </c>
      <c r="O15" s="20" t="s">
        <v>8</v>
      </c>
      <c r="P15" s="20">
        <f>SUM(J15:M15)/SUM(J16:M16)</f>
        <v>-0.61729830272029762</v>
      </c>
      <c r="Q15" s="20" t="s">
        <v>8</v>
      </c>
      <c r="R15" s="20">
        <f>SUM(J15:M15)/SUM(J16:M16)</f>
        <v>-0.61729830272029762</v>
      </c>
    </row>
    <row r="16" spans="1:18" x14ac:dyDescent="0.3">
      <c r="A16" s="1"/>
      <c r="B16" s="1"/>
      <c r="J16" s="1">
        <f>+D6</f>
        <v>512</v>
      </c>
      <c r="K16" s="1">
        <f>+D8</f>
        <v>2330</v>
      </c>
      <c r="L16" s="1">
        <f>+F6</f>
        <v>1148</v>
      </c>
      <c r="M16" s="1">
        <f>+F8</f>
        <v>311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1312</v>
      </c>
      <c r="K20" s="5">
        <f>-E8</f>
        <v>-1107</v>
      </c>
      <c r="L20" s="5">
        <f>-G6</f>
        <v>-359</v>
      </c>
      <c r="M20" s="5">
        <f>+G8</f>
        <v>1646</v>
      </c>
      <c r="O20" s="20" t="s">
        <v>8</v>
      </c>
      <c r="P20" s="20">
        <f>SUM(J20:M20)/SUM(J21:M21)</f>
        <v>0.33725135623869801</v>
      </c>
      <c r="Q20" s="20" t="s">
        <v>8</v>
      </c>
      <c r="R20" s="20">
        <f>SUM(J20:M20)/SUM(J21:M21)</f>
        <v>0.33725135623869801</v>
      </c>
    </row>
    <row r="21" spans="1:18" x14ac:dyDescent="0.3">
      <c r="A21" s="1"/>
      <c r="B21" s="1"/>
      <c r="J21" s="1">
        <f>+E6</f>
        <v>1312</v>
      </c>
      <c r="K21" s="1">
        <f>+E8</f>
        <v>1107</v>
      </c>
      <c r="L21" s="1">
        <f>+G6</f>
        <v>359</v>
      </c>
      <c r="M21" s="1">
        <f>+G8</f>
        <v>1646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5" spans="1:18" ht="15" thickBot="1" x14ac:dyDescent="0.35">
      <c r="P25" s="17">
        <f>P5+P10-P15+P20</f>
        <v>1.9917998573860742</v>
      </c>
      <c r="R25" s="18">
        <f>R5-R10-R15-R20</f>
        <v>0.5891134288335218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A492-5EAD-47FD-8213-F7230462B886}">
  <dimension ref="A1:R26"/>
  <sheetViews>
    <sheetView workbookViewId="0">
      <selection activeCell="C13" sqref="C13"/>
    </sheetView>
  </sheetViews>
  <sheetFormatPr defaultColWidth="8.6640625" defaultRowHeight="14.4" x14ac:dyDescent="0.3"/>
  <cols>
    <col min="2" max="2" width="2.6640625" customWidth="1"/>
    <col min="6" max="6" width="16.109375" bestFit="1" customWidth="1"/>
    <col min="10" max="13" width="8.77734375" bestFit="1" customWidth="1"/>
    <col min="16" max="16" width="16.109375" bestFit="1" customWidth="1"/>
    <col min="18" max="18" width="16.109375" bestFit="1" customWidth="1"/>
  </cols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2644</v>
      </c>
      <c r="E5" s="3">
        <v>2023</v>
      </c>
      <c r="F5" s="3">
        <v>279</v>
      </c>
      <c r="G5" s="4">
        <v>979</v>
      </c>
      <c r="J5" s="5">
        <f>+D5</f>
        <v>2644</v>
      </c>
      <c r="K5" s="5">
        <f>-D7</f>
        <v>-548</v>
      </c>
      <c r="L5" s="5">
        <f>-F5</f>
        <v>-279</v>
      </c>
      <c r="M5" s="5">
        <f>+F7</f>
        <v>1407</v>
      </c>
      <c r="O5" s="20" t="s">
        <v>8</v>
      </c>
      <c r="P5" s="20">
        <f>SUM(J5:M5)/SUM(J6:M6)</f>
        <v>0.6609266092660927</v>
      </c>
      <c r="Q5" s="20" t="s">
        <v>8</v>
      </c>
      <c r="R5" s="20">
        <f>SUM(J5:M5)/SUM(J6:M6)</f>
        <v>0.6609266092660927</v>
      </c>
    </row>
    <row r="6" spans="1:18" x14ac:dyDescent="0.3">
      <c r="A6" s="1"/>
      <c r="B6" s="24"/>
      <c r="C6" s="1" t="s">
        <v>9</v>
      </c>
      <c r="D6" s="6">
        <v>526</v>
      </c>
      <c r="E6" s="7">
        <v>1326</v>
      </c>
      <c r="F6" s="7">
        <v>1187</v>
      </c>
      <c r="G6" s="8">
        <v>384</v>
      </c>
      <c r="I6" s="9" t="s">
        <v>10</v>
      </c>
      <c r="J6" s="1">
        <f>+D5</f>
        <v>2644</v>
      </c>
      <c r="K6" s="1">
        <f>+D7</f>
        <v>548</v>
      </c>
      <c r="L6" s="1">
        <f>+F5</f>
        <v>279</v>
      </c>
      <c r="M6" s="1">
        <f>+F7</f>
        <v>1407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548</v>
      </c>
      <c r="E7" s="7">
        <v>532</v>
      </c>
      <c r="F7" s="7">
        <v>1407</v>
      </c>
      <c r="G7" s="8">
        <v>1212</v>
      </c>
    </row>
    <row r="8" spans="1:18" x14ac:dyDescent="0.3">
      <c r="A8" s="1"/>
      <c r="B8" s="24"/>
      <c r="C8" s="1" t="s">
        <v>12</v>
      </c>
      <c r="D8" s="10">
        <v>2451</v>
      </c>
      <c r="E8" s="11">
        <v>1001</v>
      </c>
      <c r="F8" s="11">
        <v>323</v>
      </c>
      <c r="G8" s="12">
        <v>1566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2023</v>
      </c>
      <c r="K10" s="5">
        <f>-E7</f>
        <v>-532</v>
      </c>
      <c r="L10" s="5">
        <f>-G5</f>
        <v>-979</v>
      </c>
      <c r="M10" s="5">
        <f>+G7</f>
        <v>1212</v>
      </c>
      <c r="O10" s="20" t="s">
        <v>8</v>
      </c>
      <c r="P10" s="20">
        <f>SUM(J10:M10)/SUM(J11:M11)</f>
        <v>0.36325326590813317</v>
      </c>
      <c r="Q10" s="20" t="s">
        <v>8</v>
      </c>
      <c r="R10" s="20">
        <f>SUM(J10:M10)/SUM(J11:M11)</f>
        <v>0.36325326590813317</v>
      </c>
    </row>
    <row r="11" spans="1:18" x14ac:dyDescent="0.3">
      <c r="A11" s="1"/>
      <c r="B11" s="1"/>
      <c r="E11" s="13" t="s">
        <v>15</v>
      </c>
      <c r="F11" s="14">
        <f>P25</f>
        <v>1.9981030874218648</v>
      </c>
      <c r="J11" s="1">
        <f>+E5</f>
        <v>2023</v>
      </c>
      <c r="K11" s="1">
        <f>+E7</f>
        <v>532</v>
      </c>
      <c r="L11" s="1">
        <f>+G5</f>
        <v>979</v>
      </c>
      <c r="M11" s="1">
        <f>+G7</f>
        <v>1212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0.56689699984221276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526</v>
      </c>
      <c r="K15" s="5">
        <f>-D8</f>
        <v>-2451</v>
      </c>
      <c r="L15" s="5">
        <f>-F6</f>
        <v>-1187</v>
      </c>
      <c r="M15" s="5">
        <f>+F8</f>
        <v>323</v>
      </c>
      <c r="O15" s="20" t="s">
        <v>8</v>
      </c>
      <c r="P15" s="20">
        <f>SUM(J15:M15)/SUM(J16:M16)</f>
        <v>-0.62157343436594603</v>
      </c>
      <c r="Q15" s="20" t="s">
        <v>8</v>
      </c>
      <c r="R15" s="20">
        <f>SUM(J15:M15)/SUM(J16:M16)</f>
        <v>-0.62157343436594603</v>
      </c>
    </row>
    <row r="16" spans="1:18" x14ac:dyDescent="0.3">
      <c r="A16" s="1"/>
      <c r="B16" s="1"/>
      <c r="J16" s="1">
        <f>+D6</f>
        <v>526</v>
      </c>
      <c r="K16" s="1">
        <f>+D8</f>
        <v>2451</v>
      </c>
      <c r="L16" s="1">
        <f>+F6</f>
        <v>1187</v>
      </c>
      <c r="M16" s="1">
        <f>+F8</f>
        <v>323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1326</v>
      </c>
      <c r="K20" s="5">
        <f>-E8</f>
        <v>-1001</v>
      </c>
      <c r="L20" s="5">
        <f>-G6</f>
        <v>-384</v>
      </c>
      <c r="M20" s="5">
        <f>+G8</f>
        <v>1566</v>
      </c>
      <c r="O20" s="20" t="s">
        <v>8</v>
      </c>
      <c r="P20" s="20">
        <f>SUM(J20:M20)/SUM(J21:M21)</f>
        <v>0.35234977788169275</v>
      </c>
      <c r="Q20" s="20" t="s">
        <v>8</v>
      </c>
      <c r="R20" s="20">
        <f>SUM(J20:M20)/SUM(J21:M21)</f>
        <v>0.35234977788169275</v>
      </c>
    </row>
    <row r="21" spans="1:18" x14ac:dyDescent="0.3">
      <c r="A21" s="1"/>
      <c r="B21" s="1"/>
      <c r="J21" s="1">
        <f>+E6</f>
        <v>1326</v>
      </c>
      <c r="K21" s="1">
        <f>+E8</f>
        <v>1001</v>
      </c>
      <c r="L21" s="1">
        <f>+G6</f>
        <v>384</v>
      </c>
      <c r="M21" s="1">
        <f>+G8</f>
        <v>1566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5" spans="1:18" ht="15" thickBot="1" x14ac:dyDescent="0.35">
      <c r="P25" s="17">
        <f>P5+P10-P15+P20</f>
        <v>1.9981030874218648</v>
      </c>
      <c r="R25" s="18">
        <f>R5-R10-R15-R20</f>
        <v>0.56689699984221276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E89F-737B-4297-9DAB-DB82CB5154C1}">
  <dimension ref="A1:R26"/>
  <sheetViews>
    <sheetView workbookViewId="0">
      <selection activeCell="H9" sqref="H9"/>
    </sheetView>
  </sheetViews>
  <sheetFormatPr defaultColWidth="8.6640625" defaultRowHeight="14.4" x14ac:dyDescent="0.3"/>
  <cols>
    <col min="2" max="2" width="2.6640625" customWidth="1"/>
    <col min="6" max="6" width="16.109375" bestFit="1" customWidth="1"/>
    <col min="10" max="13" width="8.77734375" bestFit="1" customWidth="1"/>
    <col min="16" max="16" width="16.109375" bestFit="1" customWidth="1"/>
    <col min="18" max="18" width="16.109375" bestFit="1" customWidth="1"/>
  </cols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1524</v>
      </c>
      <c r="E5" s="3">
        <v>1593</v>
      </c>
      <c r="F5" s="3">
        <v>249</v>
      </c>
      <c r="G5" s="4">
        <v>460</v>
      </c>
      <c r="J5" s="5">
        <f>+D5</f>
        <v>1524</v>
      </c>
      <c r="K5" s="5">
        <f>-D7</f>
        <v>-231</v>
      </c>
      <c r="L5" s="5">
        <f>-F5</f>
        <v>-249</v>
      </c>
      <c r="M5" s="5">
        <f>+F7</f>
        <v>1000</v>
      </c>
      <c r="O5" s="20" t="s">
        <v>8</v>
      </c>
      <c r="P5" s="20">
        <f>SUM(J5:M5)/SUM(J6:M6)</f>
        <v>0.68042609853528624</v>
      </c>
      <c r="Q5" s="20" t="s">
        <v>8</v>
      </c>
      <c r="R5" s="20">
        <f>SUM(J5:M5)/SUM(J6:M6)</f>
        <v>0.68042609853528624</v>
      </c>
    </row>
    <row r="6" spans="1:18" x14ac:dyDescent="0.3">
      <c r="A6" s="1"/>
      <c r="B6" s="24"/>
      <c r="C6" s="1" t="s">
        <v>9</v>
      </c>
      <c r="D6" s="6">
        <v>258</v>
      </c>
      <c r="E6" s="7">
        <v>1175</v>
      </c>
      <c r="F6" s="7">
        <v>1140</v>
      </c>
      <c r="G6" s="8">
        <v>270</v>
      </c>
      <c r="I6" s="9" t="s">
        <v>10</v>
      </c>
      <c r="J6" s="1">
        <f>+D5</f>
        <v>1524</v>
      </c>
      <c r="K6" s="1">
        <f>+D7</f>
        <v>231</v>
      </c>
      <c r="L6" s="1">
        <f>+F5</f>
        <v>249</v>
      </c>
      <c r="M6" s="1">
        <f>+F7</f>
        <v>1000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231</v>
      </c>
      <c r="E7" s="7">
        <v>387</v>
      </c>
      <c r="F7" s="7">
        <v>1000</v>
      </c>
      <c r="G7" s="8">
        <v>701</v>
      </c>
    </row>
    <row r="8" spans="1:18" x14ac:dyDescent="0.3">
      <c r="A8" s="1"/>
      <c r="B8" s="24"/>
      <c r="C8" s="1" t="s">
        <v>12</v>
      </c>
      <c r="D8" s="10">
        <v>819</v>
      </c>
      <c r="E8" s="11">
        <v>287</v>
      </c>
      <c r="F8" s="11">
        <v>157</v>
      </c>
      <c r="G8" s="12">
        <v>607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1593</v>
      </c>
      <c r="K10" s="5">
        <f>-E7</f>
        <v>-387</v>
      </c>
      <c r="L10" s="5">
        <f>-G5</f>
        <v>-460</v>
      </c>
      <c r="M10" s="5">
        <f>+G7</f>
        <v>701</v>
      </c>
      <c r="O10" s="20" t="s">
        <v>8</v>
      </c>
      <c r="P10" s="20">
        <f>SUM(J10:M10)/SUM(J11:M11)</f>
        <v>0.46068131168417703</v>
      </c>
      <c r="Q10" s="20" t="s">
        <v>8</v>
      </c>
      <c r="R10" s="20">
        <f>SUM(J10:M10)/SUM(J11:M11)</f>
        <v>0.46068131168417703</v>
      </c>
    </row>
    <row r="11" spans="1:18" x14ac:dyDescent="0.3">
      <c r="A11" s="1"/>
      <c r="B11" s="1"/>
      <c r="E11" s="13" t="s">
        <v>15</v>
      </c>
      <c r="F11" s="14">
        <f>P25</f>
        <v>2.3152146061387731</v>
      </c>
      <c r="J11" s="1">
        <f>+E5</f>
        <v>1593</v>
      </c>
      <c r="K11" s="1">
        <f>+E7</f>
        <v>387</v>
      </c>
      <c r="L11" s="1">
        <f>+G5</f>
        <v>460</v>
      </c>
      <c r="M11" s="1">
        <f>+G7</f>
        <v>701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0.34639580491663524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258</v>
      </c>
      <c r="K15" s="5">
        <f>-D8</f>
        <v>-819</v>
      </c>
      <c r="L15" s="5">
        <f>-F6</f>
        <v>-1140</v>
      </c>
      <c r="M15" s="5">
        <f>+F8</f>
        <v>157</v>
      </c>
      <c r="O15" s="20" t="s">
        <v>8</v>
      </c>
      <c r="P15" s="20">
        <f>SUM(J15:M15)/SUM(J16:M16)</f>
        <v>-0.65037910699241785</v>
      </c>
      <c r="Q15" s="20" t="s">
        <v>8</v>
      </c>
      <c r="R15" s="20">
        <f>SUM(J15:M15)/SUM(J16:M16)</f>
        <v>-0.65037910699241785</v>
      </c>
    </row>
    <row r="16" spans="1:18" x14ac:dyDescent="0.3">
      <c r="A16" s="1"/>
      <c r="B16" s="1"/>
      <c r="J16" s="1">
        <f>+D6</f>
        <v>258</v>
      </c>
      <c r="K16" s="1">
        <f>+D8</f>
        <v>819</v>
      </c>
      <c r="L16" s="1">
        <f>+F6</f>
        <v>1140</v>
      </c>
      <c r="M16" s="1">
        <f>+F8</f>
        <v>157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1175</v>
      </c>
      <c r="K20" s="5">
        <f>-E8</f>
        <v>-287</v>
      </c>
      <c r="L20" s="5">
        <f>-G6</f>
        <v>-270</v>
      </c>
      <c r="M20" s="5">
        <f>+G8</f>
        <v>607</v>
      </c>
      <c r="O20" s="20" t="s">
        <v>8</v>
      </c>
      <c r="P20" s="20">
        <f>SUM(J20:M20)/SUM(J21:M21)</f>
        <v>0.52372808892689182</v>
      </c>
      <c r="Q20" s="20" t="s">
        <v>8</v>
      </c>
      <c r="R20" s="20">
        <f>SUM(J20:M20)/SUM(J21:M21)</f>
        <v>0.52372808892689182</v>
      </c>
    </row>
    <row r="21" spans="1:18" x14ac:dyDescent="0.3">
      <c r="A21" s="1"/>
      <c r="B21" s="1"/>
      <c r="J21" s="1">
        <f>+E6</f>
        <v>1175</v>
      </c>
      <c r="K21" s="1">
        <f>+E8</f>
        <v>287</v>
      </c>
      <c r="L21" s="1">
        <f>+G6</f>
        <v>270</v>
      </c>
      <c r="M21" s="1">
        <f>+G8</f>
        <v>607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5" spans="1:18" ht="15" thickBot="1" x14ac:dyDescent="0.35">
      <c r="P25" s="17">
        <f>P5+P10-P15+P20</f>
        <v>2.3152146061387731</v>
      </c>
      <c r="R25" s="18">
        <f>R5-R10-R15-R20</f>
        <v>0.34639580491663524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54A2-A0A9-4419-877D-D0646F24082E}">
  <dimension ref="A1:R26"/>
  <sheetViews>
    <sheetView workbookViewId="0">
      <selection activeCell="G9" sqref="G9"/>
    </sheetView>
  </sheetViews>
  <sheetFormatPr defaultRowHeight="14.4" x14ac:dyDescent="0.3"/>
  <cols>
    <col min="16" max="16" width="16.109375" bestFit="1" customWidth="1"/>
  </cols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1465</v>
      </c>
      <c r="E5" s="3">
        <v>1518</v>
      </c>
      <c r="F5" s="3">
        <v>253</v>
      </c>
      <c r="G5" s="4">
        <v>428</v>
      </c>
      <c r="J5" s="5">
        <f>+D5</f>
        <v>1465</v>
      </c>
      <c r="K5" s="5">
        <f>-D7</f>
        <v>-224</v>
      </c>
      <c r="L5" s="5">
        <f>-F5</f>
        <v>-253</v>
      </c>
      <c r="M5" s="5">
        <f>+F7</f>
        <v>1011</v>
      </c>
      <c r="O5" s="20" t="s">
        <v>8</v>
      </c>
      <c r="P5" s="20">
        <f>SUM(J5:M5)/SUM(J6:M6)</f>
        <v>0.67693870640027087</v>
      </c>
      <c r="Q5" s="20" t="s">
        <v>8</v>
      </c>
      <c r="R5" s="20">
        <f>SUM(J5:M5)/SUM(J6:M6)</f>
        <v>0.67693870640027087</v>
      </c>
    </row>
    <row r="6" spans="1:18" x14ac:dyDescent="0.3">
      <c r="A6" s="1"/>
      <c r="B6" s="24"/>
      <c r="C6" s="1" t="s">
        <v>9</v>
      </c>
      <c r="D6" s="6">
        <v>275</v>
      </c>
      <c r="E6" s="7">
        <v>1130</v>
      </c>
      <c r="F6" s="7">
        <v>1033</v>
      </c>
      <c r="G6" s="8">
        <v>265</v>
      </c>
      <c r="I6" s="9" t="s">
        <v>10</v>
      </c>
      <c r="J6" s="1">
        <f>+D5</f>
        <v>1465</v>
      </c>
      <c r="K6" s="1">
        <f>+D7</f>
        <v>224</v>
      </c>
      <c r="L6" s="1">
        <f>+F5</f>
        <v>253</v>
      </c>
      <c r="M6" s="1">
        <f>+F7</f>
        <v>1011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224</v>
      </c>
      <c r="E7" s="7">
        <v>342</v>
      </c>
      <c r="F7" s="7">
        <v>1011</v>
      </c>
      <c r="G7" s="8">
        <v>672</v>
      </c>
    </row>
    <row r="8" spans="1:18" x14ac:dyDescent="0.3">
      <c r="A8" s="1"/>
      <c r="B8" s="24"/>
      <c r="C8" s="1" t="s">
        <v>12</v>
      </c>
      <c r="D8" s="10">
        <v>795</v>
      </c>
      <c r="E8" s="11">
        <v>257</v>
      </c>
      <c r="F8" s="11">
        <v>179</v>
      </c>
      <c r="G8" s="12">
        <v>605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1518</v>
      </c>
      <c r="K10" s="5">
        <f>-E7</f>
        <v>-342</v>
      </c>
      <c r="L10" s="5">
        <f>-G5</f>
        <v>-428</v>
      </c>
      <c r="M10" s="5">
        <f>+G7</f>
        <v>672</v>
      </c>
      <c r="O10" s="20" t="s">
        <v>8</v>
      </c>
      <c r="P10" s="20">
        <f>SUM(J10:M10)/SUM(J11:M11)</f>
        <v>0.47972972972972971</v>
      </c>
      <c r="Q10" s="20" t="s">
        <v>8</v>
      </c>
      <c r="R10" s="20">
        <f>SUM(J10:M10)/SUM(J11:M11)</f>
        <v>0.47972972972972971</v>
      </c>
    </row>
    <row r="11" spans="1:18" x14ac:dyDescent="0.3">
      <c r="A11" s="1"/>
      <c r="B11" s="1"/>
      <c r="E11" s="13" t="s">
        <v>15</v>
      </c>
      <c r="F11" s="14">
        <f>P25</f>
        <v>2.2962109326070239</v>
      </c>
      <c r="J11" s="1">
        <f>+E5</f>
        <v>1518</v>
      </c>
      <c r="K11" s="1">
        <f>+E7</f>
        <v>342</v>
      </c>
      <c r="L11" s="1">
        <f>+G5</f>
        <v>428</v>
      </c>
      <c r="M11" s="1">
        <f>+G7</f>
        <v>672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0.26187331630219446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275</v>
      </c>
      <c r="K15" s="5">
        <f>-D8</f>
        <v>-795</v>
      </c>
      <c r="L15" s="5">
        <f>-F6</f>
        <v>-1033</v>
      </c>
      <c r="M15" s="5">
        <f>+F8</f>
        <v>179</v>
      </c>
      <c r="O15" s="20" t="s">
        <v>8</v>
      </c>
      <c r="P15" s="20">
        <f>SUM(J15:M15)/SUM(J16:M16)</f>
        <v>-0.60210341805433831</v>
      </c>
      <c r="Q15" s="20" t="s">
        <v>8</v>
      </c>
      <c r="R15" s="20">
        <f>SUM(J15:M15)/SUM(J16:M16)</f>
        <v>-0.60210341805433831</v>
      </c>
    </row>
    <row r="16" spans="1:18" x14ac:dyDescent="0.3">
      <c r="A16" s="1"/>
      <c r="B16" s="1"/>
      <c r="J16" s="1">
        <f>+D6</f>
        <v>275</v>
      </c>
      <c r="K16" s="1">
        <f>+D8</f>
        <v>795</v>
      </c>
      <c r="L16" s="1">
        <f>+F6</f>
        <v>1033</v>
      </c>
      <c r="M16" s="1">
        <f>+F8</f>
        <v>179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1130</v>
      </c>
      <c r="K20" s="5">
        <f>-E8</f>
        <v>-257</v>
      </c>
      <c r="L20" s="5">
        <f>-G6</f>
        <v>-265</v>
      </c>
      <c r="M20" s="5">
        <f>+G8</f>
        <v>605</v>
      </c>
      <c r="O20" s="20" t="s">
        <v>8</v>
      </c>
      <c r="P20" s="20">
        <f>SUM(J20:M20)/SUM(J21:M21)</f>
        <v>0.53743907842268501</v>
      </c>
      <c r="Q20" s="20" t="s">
        <v>8</v>
      </c>
      <c r="R20" s="20">
        <f>SUM(J20:M20)/SUM(J21:M21)</f>
        <v>0.53743907842268501</v>
      </c>
    </row>
    <row r="21" spans="1:18" x14ac:dyDescent="0.3">
      <c r="A21" s="1"/>
      <c r="B21" s="1"/>
      <c r="J21" s="1">
        <f>+E6</f>
        <v>1130</v>
      </c>
      <c r="K21" s="1">
        <f>+E8</f>
        <v>257</v>
      </c>
      <c r="L21" s="1">
        <f>+G6</f>
        <v>265</v>
      </c>
      <c r="M21" s="1">
        <f>+G8</f>
        <v>605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2.2962109326070239</v>
      </c>
      <c r="R25" s="18">
        <f>R5-R10-R15-R20</f>
        <v>0.26187331630219446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586E-C407-422B-999E-1285361B3961}">
  <dimension ref="A1:R26"/>
  <sheetViews>
    <sheetView workbookViewId="0">
      <selection activeCell="H10" sqref="H10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1477</v>
      </c>
      <c r="E5" s="3">
        <v>1508</v>
      </c>
      <c r="F5" s="3">
        <v>279</v>
      </c>
      <c r="G5" s="4">
        <v>442</v>
      </c>
      <c r="J5" s="5">
        <f>+D5</f>
        <v>1477</v>
      </c>
      <c r="K5" s="5">
        <f>-D7</f>
        <v>-220</v>
      </c>
      <c r="L5" s="5">
        <f>-F5</f>
        <v>-279</v>
      </c>
      <c r="M5" s="5">
        <f>+F7</f>
        <v>1022</v>
      </c>
      <c r="O5" s="20" t="s">
        <v>8</v>
      </c>
      <c r="P5" s="20">
        <f>SUM(J5:M5)/SUM(J6:M6)</f>
        <v>0.66711140760507004</v>
      </c>
      <c r="Q5" s="20" t="s">
        <v>8</v>
      </c>
      <c r="R5" s="20">
        <f>SUM(J5:M5)/SUM(J6:M6)</f>
        <v>0.66711140760507004</v>
      </c>
    </row>
    <row r="6" spans="1:18" x14ac:dyDescent="0.3">
      <c r="A6" s="1"/>
      <c r="B6" s="24"/>
      <c r="C6" s="1" t="s">
        <v>9</v>
      </c>
      <c r="D6" s="6">
        <v>256</v>
      </c>
      <c r="E6" s="7">
        <v>1219</v>
      </c>
      <c r="F6" s="7">
        <v>1064</v>
      </c>
      <c r="G6" s="8">
        <v>266</v>
      </c>
      <c r="I6" s="9" t="s">
        <v>10</v>
      </c>
      <c r="J6" s="1">
        <f>+D5</f>
        <v>1477</v>
      </c>
      <c r="K6" s="1">
        <f>+D7</f>
        <v>220</v>
      </c>
      <c r="L6" s="1">
        <f>+F5</f>
        <v>279</v>
      </c>
      <c r="M6" s="1">
        <f>+F7</f>
        <v>1022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220</v>
      </c>
      <c r="E7" s="7">
        <v>327</v>
      </c>
      <c r="F7" s="7">
        <v>1022</v>
      </c>
      <c r="G7" s="8">
        <v>708</v>
      </c>
    </row>
    <row r="8" spans="1:18" x14ac:dyDescent="0.3">
      <c r="A8" s="1"/>
      <c r="B8" s="24"/>
      <c r="C8" s="1" t="s">
        <v>12</v>
      </c>
      <c r="D8" s="10">
        <v>755</v>
      </c>
      <c r="E8" s="11">
        <v>265</v>
      </c>
      <c r="F8" s="11">
        <v>189</v>
      </c>
      <c r="G8" s="12">
        <v>589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1508</v>
      </c>
      <c r="K10" s="5">
        <f>-E7</f>
        <v>-327</v>
      </c>
      <c r="L10" s="5">
        <f>-G5</f>
        <v>-442</v>
      </c>
      <c r="M10" s="5">
        <f>+G7</f>
        <v>708</v>
      </c>
      <c r="O10" s="20" t="s">
        <v>8</v>
      </c>
      <c r="P10" s="20">
        <f>SUM(J10:M10)/SUM(J11:M11)</f>
        <v>0.48475711892797319</v>
      </c>
      <c r="Q10" s="20" t="s">
        <v>8</v>
      </c>
      <c r="R10" s="20">
        <f>SUM(J10:M10)/SUM(J11:M11)</f>
        <v>0.48475711892797319</v>
      </c>
    </row>
    <row r="11" spans="1:18" x14ac:dyDescent="0.3">
      <c r="A11" s="1"/>
      <c r="B11" s="1"/>
      <c r="E11" s="13" t="s">
        <v>15</v>
      </c>
      <c r="F11" s="14">
        <f>P25</f>
        <v>2.3047187977824217</v>
      </c>
      <c r="J11" s="1">
        <f>+E5</f>
        <v>1508</v>
      </c>
      <c r="K11" s="1">
        <f>+E7</f>
        <v>327</v>
      </c>
      <c r="L11" s="1">
        <f>+G5</f>
        <v>442</v>
      </c>
      <c r="M11" s="1">
        <f>+G7</f>
        <v>708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0.2432849361556334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256</v>
      </c>
      <c r="K15" s="5">
        <f>-D8</f>
        <v>-755</v>
      </c>
      <c r="L15" s="5">
        <f>-F6</f>
        <v>-1064</v>
      </c>
      <c r="M15" s="5">
        <f>+F8</f>
        <v>189</v>
      </c>
      <c r="O15" s="20" t="s">
        <v>8</v>
      </c>
      <c r="P15" s="20">
        <f>SUM(J15:M15)/SUM(J16:M16)</f>
        <v>-0.60689045936395758</v>
      </c>
      <c r="Q15" s="20" t="s">
        <v>8</v>
      </c>
      <c r="R15" s="20">
        <f>SUM(J15:M15)/SUM(J16:M16)</f>
        <v>-0.60689045936395758</v>
      </c>
    </row>
    <row r="16" spans="1:18" x14ac:dyDescent="0.3">
      <c r="A16" s="1"/>
      <c r="B16" s="1"/>
      <c r="J16" s="1">
        <f>+D6</f>
        <v>256</v>
      </c>
      <c r="K16" s="1">
        <f>+D8</f>
        <v>755</v>
      </c>
      <c r="L16" s="1">
        <f>+F6</f>
        <v>1064</v>
      </c>
      <c r="M16" s="1">
        <f>+F8</f>
        <v>189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1219</v>
      </c>
      <c r="K20" s="5">
        <f>-E8</f>
        <v>-265</v>
      </c>
      <c r="L20" s="5">
        <f>-G6</f>
        <v>-266</v>
      </c>
      <c r="M20" s="5">
        <f>+G8</f>
        <v>589</v>
      </c>
      <c r="O20" s="20" t="s">
        <v>8</v>
      </c>
      <c r="P20" s="20">
        <f>SUM(J20:M20)/SUM(J21:M21)</f>
        <v>0.54595981188542109</v>
      </c>
      <c r="Q20" s="20" t="s">
        <v>8</v>
      </c>
      <c r="R20" s="20">
        <f>SUM(J20:M20)/SUM(J21:M21)</f>
        <v>0.54595981188542109</v>
      </c>
    </row>
    <row r="21" spans="1:18" x14ac:dyDescent="0.3">
      <c r="A21" s="1"/>
      <c r="B21" s="1"/>
      <c r="J21" s="1">
        <f>+E6</f>
        <v>1219</v>
      </c>
      <c r="K21" s="1">
        <f>+E8</f>
        <v>265</v>
      </c>
      <c r="L21" s="1">
        <f>+G6</f>
        <v>266</v>
      </c>
      <c r="M21" s="1">
        <f>+G8</f>
        <v>589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2.3047187977824217</v>
      </c>
      <c r="R25" s="18">
        <f>R5-R10-R15-R20</f>
        <v>0.2432849361556334</v>
      </c>
    </row>
    <row r="26" spans="1:18" x14ac:dyDescent="0.3">
      <c r="P26" s="19" t="s">
        <v>17</v>
      </c>
      <c r="R26" s="19" t="s">
        <v>18</v>
      </c>
    </row>
  </sheetData>
  <mergeCells count="19">
    <mergeCell ref="B1:R1"/>
    <mergeCell ref="D3:G3"/>
    <mergeCell ref="B5:B8"/>
    <mergeCell ref="O5:O6"/>
    <mergeCell ref="P5:P6"/>
    <mergeCell ref="Q5:Q6"/>
    <mergeCell ref="R5:R6"/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6D54-4E95-4DCF-98EF-1C1F907D417F}">
  <dimension ref="A1:R26"/>
  <sheetViews>
    <sheetView topLeftCell="A5" workbookViewId="0">
      <selection sqref="A1:T29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2621</v>
      </c>
      <c r="E5" s="3">
        <v>2070</v>
      </c>
      <c r="F5" s="3">
        <v>362</v>
      </c>
      <c r="G5" s="4">
        <v>1297</v>
      </c>
      <c r="J5" s="5">
        <f>+D5</f>
        <v>2621</v>
      </c>
      <c r="K5" s="5">
        <f>-D7</f>
        <v>-359</v>
      </c>
      <c r="L5" s="5">
        <f>-F5</f>
        <v>-362</v>
      </c>
      <c r="M5" s="5">
        <f>+F7</f>
        <v>1824</v>
      </c>
      <c r="O5" s="20" t="s">
        <v>8</v>
      </c>
      <c r="P5" s="20">
        <f>SUM(J5:M5)/SUM(J6:M6)</f>
        <v>0.72086720867208676</v>
      </c>
      <c r="Q5" s="20" t="s">
        <v>8</v>
      </c>
      <c r="R5" s="20">
        <f>SUM(J5:M5)/SUM(J6:M6)</f>
        <v>0.72086720867208676</v>
      </c>
    </row>
    <row r="6" spans="1:18" x14ac:dyDescent="0.3">
      <c r="A6" s="1"/>
      <c r="B6" s="24"/>
      <c r="C6" s="1" t="s">
        <v>9</v>
      </c>
      <c r="D6" s="6">
        <v>444</v>
      </c>
      <c r="E6" s="7">
        <v>1588</v>
      </c>
      <c r="F6" s="7">
        <v>1839</v>
      </c>
      <c r="G6" s="8">
        <v>629</v>
      </c>
      <c r="I6" s="9" t="s">
        <v>10</v>
      </c>
      <c r="J6" s="1">
        <f>+D5</f>
        <v>2621</v>
      </c>
      <c r="K6" s="1">
        <f>+D7</f>
        <v>359</v>
      </c>
      <c r="L6" s="1">
        <f>+F5</f>
        <v>362</v>
      </c>
      <c r="M6" s="1">
        <f>+F7</f>
        <v>1824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359</v>
      </c>
      <c r="E7" s="7">
        <v>818</v>
      </c>
      <c r="F7" s="7">
        <v>1824</v>
      </c>
      <c r="G7" s="8">
        <v>1586</v>
      </c>
    </row>
    <row r="8" spans="1:18" x14ac:dyDescent="0.3">
      <c r="A8" s="1"/>
      <c r="B8" s="24"/>
      <c r="C8" s="1" t="s">
        <v>12</v>
      </c>
      <c r="D8" s="10">
        <v>1698</v>
      </c>
      <c r="E8" s="11">
        <v>812</v>
      </c>
      <c r="F8" s="11">
        <v>386</v>
      </c>
      <c r="G8" s="12">
        <v>1662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2070</v>
      </c>
      <c r="K10" s="5">
        <f>-E7</f>
        <v>-818</v>
      </c>
      <c r="L10" s="5">
        <f>-G5</f>
        <v>-1297</v>
      </c>
      <c r="M10" s="5">
        <f>+G7</f>
        <v>1586</v>
      </c>
      <c r="O10" s="20" t="s">
        <v>8</v>
      </c>
      <c r="P10" s="20">
        <f>SUM(J10:M10)/SUM(J11:M11)</f>
        <v>0.26702477906775257</v>
      </c>
      <c r="Q10" s="20" t="s">
        <v>8</v>
      </c>
      <c r="R10" s="20">
        <f>SUM(J10:M10)/SUM(J11:M11)</f>
        <v>0.26702477906775257</v>
      </c>
    </row>
    <row r="11" spans="1:18" x14ac:dyDescent="0.3">
      <c r="A11" s="1"/>
      <c r="B11" s="1"/>
      <c r="E11" s="13" t="s">
        <v>15</v>
      </c>
      <c r="F11" s="14">
        <f>P25</f>
        <v>1.9934003944511498</v>
      </c>
      <c r="J11" s="1">
        <f>+E5</f>
        <v>2070</v>
      </c>
      <c r="K11" s="1">
        <f>+E7</f>
        <v>818</v>
      </c>
      <c r="L11" s="1">
        <f>+G5</f>
        <v>1297</v>
      </c>
      <c r="M11" s="1">
        <f>+G7</f>
        <v>1586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0.68808671352732653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444</v>
      </c>
      <c r="K15" s="5">
        <f>-D8</f>
        <v>-1698</v>
      </c>
      <c r="L15" s="5">
        <f>-F6</f>
        <v>-1839</v>
      </c>
      <c r="M15" s="5">
        <f>+F8</f>
        <v>386</v>
      </c>
      <c r="O15" s="20" t="s">
        <v>8</v>
      </c>
      <c r="P15" s="20">
        <f>SUM(J15:M15)/SUM(J16:M16)</f>
        <v>-0.61987634531715141</v>
      </c>
      <c r="Q15" s="20" t="s">
        <v>8</v>
      </c>
      <c r="R15" s="20">
        <f>SUM(J15:M15)/SUM(J16:M16)</f>
        <v>-0.61987634531715141</v>
      </c>
    </row>
    <row r="16" spans="1:18" x14ac:dyDescent="0.3">
      <c r="A16" s="1"/>
      <c r="B16" s="1"/>
      <c r="J16" s="1">
        <f>+D6</f>
        <v>444</v>
      </c>
      <c r="K16" s="1">
        <f>+D8</f>
        <v>1698</v>
      </c>
      <c r="L16" s="1">
        <f>+F6</f>
        <v>1839</v>
      </c>
      <c r="M16" s="1">
        <f>+F8</f>
        <v>386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1588</v>
      </c>
      <c r="K20" s="5">
        <f>-E8</f>
        <v>-812</v>
      </c>
      <c r="L20" s="5">
        <f>-G6</f>
        <v>-629</v>
      </c>
      <c r="M20" s="5">
        <f>+G8</f>
        <v>1662</v>
      </c>
      <c r="O20" s="20" t="s">
        <v>8</v>
      </c>
      <c r="P20" s="20">
        <f>SUM(J20:M20)/SUM(J21:M21)</f>
        <v>0.38563206139415901</v>
      </c>
      <c r="Q20" s="20" t="s">
        <v>8</v>
      </c>
      <c r="R20" s="20">
        <f>SUM(J20:M20)/SUM(J21:M21)</f>
        <v>0.38563206139415901</v>
      </c>
    </row>
    <row r="21" spans="1:18" x14ac:dyDescent="0.3">
      <c r="A21" s="1"/>
      <c r="B21" s="1"/>
      <c r="J21" s="1">
        <f>+E6</f>
        <v>1588</v>
      </c>
      <c r="K21" s="1">
        <f>+E8</f>
        <v>812</v>
      </c>
      <c r="L21" s="1">
        <f>+G6</f>
        <v>629</v>
      </c>
      <c r="M21" s="1">
        <f>+G8</f>
        <v>1662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1.9934003944511498</v>
      </c>
      <c r="R25" s="18">
        <f>R5-R10-R15-R20</f>
        <v>0.68808671352732653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93A-E7EE-43F2-83BC-1E57FECB0D26}">
  <dimension ref="A1:R26"/>
  <sheetViews>
    <sheetView workbookViewId="0">
      <selection activeCell="G9" sqref="G9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2763</v>
      </c>
      <c r="E5" s="3">
        <v>2129</v>
      </c>
      <c r="F5" s="3">
        <v>363</v>
      </c>
      <c r="G5" s="4">
        <v>1227</v>
      </c>
      <c r="J5" s="5">
        <f>+D5</f>
        <v>2763</v>
      </c>
      <c r="K5" s="5">
        <f>-D7</f>
        <v>-353</v>
      </c>
      <c r="L5" s="5">
        <f>-F5</f>
        <v>-363</v>
      </c>
      <c r="M5" s="5">
        <f>+F7</f>
        <v>1866</v>
      </c>
      <c r="O5" s="20" t="s">
        <v>8</v>
      </c>
      <c r="P5" s="20">
        <f>SUM(J5:M5)/SUM(J6:M6)</f>
        <v>0.73208606173994384</v>
      </c>
      <c r="Q5" s="20" t="s">
        <v>8</v>
      </c>
      <c r="R5" s="20">
        <f>SUM(J5:M5)/SUM(J6:M6)</f>
        <v>0.73208606173994384</v>
      </c>
    </row>
    <row r="6" spans="1:18" x14ac:dyDescent="0.3">
      <c r="A6" s="1"/>
      <c r="B6" s="24"/>
      <c r="C6" s="1" t="s">
        <v>9</v>
      </c>
      <c r="D6" s="6">
        <v>472</v>
      </c>
      <c r="E6" s="7">
        <v>1518</v>
      </c>
      <c r="F6" s="7">
        <v>1912</v>
      </c>
      <c r="G6" s="8">
        <v>715</v>
      </c>
      <c r="I6" s="9" t="s">
        <v>10</v>
      </c>
      <c r="J6" s="1">
        <f>+D5</f>
        <v>2763</v>
      </c>
      <c r="K6" s="1">
        <f>+D7</f>
        <v>353</v>
      </c>
      <c r="L6" s="1">
        <f>+F5</f>
        <v>363</v>
      </c>
      <c r="M6" s="1">
        <f>+F7</f>
        <v>1866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353</v>
      </c>
      <c r="E7" s="7">
        <v>719</v>
      </c>
      <c r="F7" s="7">
        <v>1866</v>
      </c>
      <c r="G7" s="8">
        <v>1562</v>
      </c>
    </row>
    <row r="8" spans="1:18" x14ac:dyDescent="0.3">
      <c r="A8" s="1"/>
      <c r="B8" s="24"/>
      <c r="C8" s="1" t="s">
        <v>12</v>
      </c>
      <c r="D8" s="10">
        <v>1637</v>
      </c>
      <c r="E8" s="11">
        <v>813</v>
      </c>
      <c r="F8" s="11">
        <v>388</v>
      </c>
      <c r="G8" s="12">
        <v>1609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2129</v>
      </c>
      <c r="K10" s="5">
        <f>-E7</f>
        <v>-719</v>
      </c>
      <c r="L10" s="5">
        <f>-G5</f>
        <v>-1227</v>
      </c>
      <c r="M10" s="5">
        <f>+G7</f>
        <v>1562</v>
      </c>
      <c r="O10" s="20" t="s">
        <v>8</v>
      </c>
      <c r="P10" s="20">
        <f>SUM(J10:M10)/SUM(J11:M11)</f>
        <v>0.30956182366507007</v>
      </c>
      <c r="Q10" s="20" t="s">
        <v>8</v>
      </c>
      <c r="R10" s="20">
        <f>SUM(J10:M10)/SUM(J11:M11)</f>
        <v>0.30956182366507007</v>
      </c>
    </row>
    <row r="11" spans="1:18" x14ac:dyDescent="0.3">
      <c r="A11" s="1"/>
      <c r="B11" s="1"/>
      <c r="E11" s="13" t="s">
        <v>15</v>
      </c>
      <c r="F11" s="14">
        <f>P25</f>
        <v>1.9950383602637092</v>
      </c>
      <c r="J11" s="1">
        <f>+E5</f>
        <v>2129</v>
      </c>
      <c r="K11" s="1">
        <f>+E7</f>
        <v>719</v>
      </c>
      <c r="L11" s="1">
        <f>+G5</f>
        <v>1227</v>
      </c>
      <c r="M11" s="1">
        <f>+G7</f>
        <v>1562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0.68891149059200085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472</v>
      </c>
      <c r="K15" s="5">
        <f>-D8</f>
        <v>-1637</v>
      </c>
      <c r="L15" s="5">
        <f>-F6</f>
        <v>-1912</v>
      </c>
      <c r="M15" s="5">
        <f>+F8</f>
        <v>388</v>
      </c>
      <c r="O15" s="20" t="s">
        <v>8</v>
      </c>
      <c r="P15" s="20">
        <f>SUM(J15:M15)/SUM(J16:M16)</f>
        <v>-0.60988886368791106</v>
      </c>
      <c r="Q15" s="20" t="s">
        <v>8</v>
      </c>
      <c r="R15" s="20">
        <f>SUM(J15:M15)/SUM(J16:M16)</f>
        <v>-0.60988886368791106</v>
      </c>
    </row>
    <row r="16" spans="1:18" x14ac:dyDescent="0.3">
      <c r="A16" s="1"/>
      <c r="B16" s="1"/>
      <c r="J16" s="1">
        <f>+D6</f>
        <v>472</v>
      </c>
      <c r="K16" s="1">
        <f>+D8</f>
        <v>1637</v>
      </c>
      <c r="L16" s="1">
        <f>+F6</f>
        <v>1912</v>
      </c>
      <c r="M16" s="1">
        <f>+F8</f>
        <v>388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1518</v>
      </c>
      <c r="K20" s="5">
        <f>-E8</f>
        <v>-813</v>
      </c>
      <c r="L20" s="5">
        <f>-G6</f>
        <v>-715</v>
      </c>
      <c r="M20" s="5">
        <f>+G8</f>
        <v>1609</v>
      </c>
      <c r="O20" s="20" t="s">
        <v>8</v>
      </c>
      <c r="P20" s="20">
        <f>SUM(J20:M20)/SUM(J21:M21)</f>
        <v>0.34350161117078409</v>
      </c>
      <c r="Q20" s="20" t="s">
        <v>8</v>
      </c>
      <c r="R20" s="20">
        <f>SUM(J20:M20)/SUM(J21:M21)</f>
        <v>0.34350161117078409</v>
      </c>
    </row>
    <row r="21" spans="1:18" x14ac:dyDescent="0.3">
      <c r="A21" s="1"/>
      <c r="B21" s="1"/>
      <c r="J21" s="1">
        <f>+E6</f>
        <v>1518</v>
      </c>
      <c r="K21" s="1">
        <f>+E8</f>
        <v>813</v>
      </c>
      <c r="L21" s="1">
        <f>+G6</f>
        <v>715</v>
      </c>
      <c r="M21" s="1">
        <f>+G8</f>
        <v>1609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1.9950383602637092</v>
      </c>
      <c r="R25" s="18">
        <f>R5-R10-R15-R20</f>
        <v>0.68891149059200085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FB8E2-8A9B-48D4-A946-241FF27DE5A4}">
  <dimension ref="A1:R26"/>
  <sheetViews>
    <sheetView workbookViewId="0">
      <selection activeCell="G9" sqref="G9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2696</v>
      </c>
      <c r="E5" s="3">
        <v>2082</v>
      </c>
      <c r="F5" s="3">
        <v>378</v>
      </c>
      <c r="G5" s="4">
        <v>1291</v>
      </c>
      <c r="J5" s="5">
        <f>+D5</f>
        <v>2696</v>
      </c>
      <c r="K5" s="5">
        <f>-D7</f>
        <v>-374</v>
      </c>
      <c r="L5" s="5">
        <f>-F5</f>
        <v>-378</v>
      </c>
      <c r="M5" s="5">
        <f>+F7</f>
        <v>1876</v>
      </c>
      <c r="O5" s="20" t="s">
        <v>8</v>
      </c>
      <c r="P5" s="20">
        <f>SUM(J5:M5)/SUM(J6:M6)</f>
        <v>0.71750563486100671</v>
      </c>
      <c r="Q5" s="20" t="s">
        <v>8</v>
      </c>
      <c r="R5" s="20">
        <f>SUM(J5:M5)/SUM(J6:M6)</f>
        <v>0.71750563486100671</v>
      </c>
    </row>
    <row r="6" spans="1:18" x14ac:dyDescent="0.3">
      <c r="A6" s="1"/>
      <c r="B6" s="24"/>
      <c r="C6" s="1" t="s">
        <v>9</v>
      </c>
      <c r="D6" s="6">
        <v>476</v>
      </c>
      <c r="E6" s="7">
        <v>1575</v>
      </c>
      <c r="F6" s="7">
        <v>1822</v>
      </c>
      <c r="G6" s="8">
        <v>673</v>
      </c>
      <c r="I6" s="9" t="s">
        <v>10</v>
      </c>
      <c r="J6" s="1">
        <f>+D5</f>
        <v>2696</v>
      </c>
      <c r="K6" s="1">
        <f>+D7</f>
        <v>374</v>
      </c>
      <c r="L6" s="1">
        <f>+F5</f>
        <v>378</v>
      </c>
      <c r="M6" s="1">
        <f>+F7</f>
        <v>1876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374</v>
      </c>
      <c r="E7" s="7">
        <v>763</v>
      </c>
      <c r="F7" s="7">
        <v>1876</v>
      </c>
      <c r="G7" s="8">
        <v>1546</v>
      </c>
    </row>
    <row r="8" spans="1:18" x14ac:dyDescent="0.3">
      <c r="A8" s="1"/>
      <c r="B8" s="24"/>
      <c r="C8" s="1" t="s">
        <v>12</v>
      </c>
      <c r="D8" s="10">
        <v>1741</v>
      </c>
      <c r="E8" s="11">
        <v>803</v>
      </c>
      <c r="F8" s="11">
        <v>348</v>
      </c>
      <c r="G8" s="12">
        <v>1658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2082</v>
      </c>
      <c r="K10" s="5">
        <f>-E7</f>
        <v>-763</v>
      </c>
      <c r="L10" s="5">
        <f>-G5</f>
        <v>-1291</v>
      </c>
      <c r="M10" s="5">
        <f>+G7</f>
        <v>1546</v>
      </c>
      <c r="O10" s="20" t="s">
        <v>8</v>
      </c>
      <c r="P10" s="20">
        <f>SUM(J10:M10)/SUM(J11:M11)</f>
        <v>0.27701513551566348</v>
      </c>
      <c r="Q10" s="20" t="s">
        <v>8</v>
      </c>
      <c r="R10" s="20">
        <f>SUM(J10:M10)/SUM(J11:M11)</f>
        <v>0.27701513551566348</v>
      </c>
    </row>
    <row r="11" spans="1:18" x14ac:dyDescent="0.3">
      <c r="A11" s="1"/>
      <c r="B11" s="1"/>
      <c r="E11" s="13" t="s">
        <v>15</v>
      </c>
      <c r="F11" s="14">
        <f>P25</f>
        <v>1.9919807361445621</v>
      </c>
      <c r="J11" s="1">
        <f>+E5</f>
        <v>2082</v>
      </c>
      <c r="K11" s="1">
        <f>+E7</f>
        <v>763</v>
      </c>
      <c r="L11" s="1">
        <f>+G5</f>
        <v>1291</v>
      </c>
      <c r="M11" s="1">
        <f>+G7</f>
        <v>1546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0.69171984290045119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476</v>
      </c>
      <c r="K15" s="5">
        <f>-D8</f>
        <v>-1741</v>
      </c>
      <c r="L15" s="5">
        <f>-F6</f>
        <v>-1822</v>
      </c>
      <c r="M15" s="5">
        <f>+F8</f>
        <v>348</v>
      </c>
      <c r="O15" s="20" t="s">
        <v>8</v>
      </c>
      <c r="P15" s="20">
        <f>SUM(J15:M15)/SUM(J16:M16)</f>
        <v>-0.62434465466149991</v>
      </c>
      <c r="Q15" s="20" t="s">
        <v>8</v>
      </c>
      <c r="R15" s="20">
        <f>SUM(J15:M15)/SUM(J16:M16)</f>
        <v>-0.62434465466149991</v>
      </c>
    </row>
    <row r="16" spans="1:18" x14ac:dyDescent="0.3">
      <c r="A16" s="1"/>
      <c r="B16" s="1"/>
      <c r="J16" s="1">
        <f>+D6</f>
        <v>476</v>
      </c>
      <c r="K16" s="1">
        <f>+D8</f>
        <v>1741</v>
      </c>
      <c r="L16" s="1">
        <f>+F6</f>
        <v>1822</v>
      </c>
      <c r="M16" s="1">
        <f>+F8</f>
        <v>348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1575</v>
      </c>
      <c r="K20" s="5">
        <f>-E8</f>
        <v>-803</v>
      </c>
      <c r="L20" s="5">
        <f>-G6</f>
        <v>-673</v>
      </c>
      <c r="M20" s="5">
        <f>+G8</f>
        <v>1658</v>
      </c>
      <c r="O20" s="20" t="s">
        <v>8</v>
      </c>
      <c r="P20" s="20">
        <f>SUM(J20:M20)/SUM(J21:M21)</f>
        <v>0.37311531110639201</v>
      </c>
      <c r="Q20" s="20" t="s">
        <v>8</v>
      </c>
      <c r="R20" s="20">
        <f>SUM(J20:M20)/SUM(J21:M21)</f>
        <v>0.37311531110639201</v>
      </c>
    </row>
    <row r="21" spans="1:18" x14ac:dyDescent="0.3">
      <c r="A21" s="1"/>
      <c r="B21" s="1"/>
      <c r="J21" s="1">
        <f>+E6</f>
        <v>1575</v>
      </c>
      <c r="K21" s="1">
        <f>+E8</f>
        <v>803</v>
      </c>
      <c r="L21" s="1">
        <f>+G6</f>
        <v>673</v>
      </c>
      <c r="M21" s="1">
        <f>+G8</f>
        <v>1658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1.9919807361445621</v>
      </c>
      <c r="R25" s="18">
        <f>R5-R10-R15-R20</f>
        <v>0.69171984290045119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19BF-8778-4B2B-A446-61814ABA35D8}">
  <dimension ref="A1:R26"/>
  <sheetViews>
    <sheetView tabSelected="1" workbookViewId="0">
      <selection activeCell="T14" sqref="T14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>
        <v>2884</v>
      </c>
      <c r="E5" s="3">
        <v>1771</v>
      </c>
      <c r="F5" s="3">
        <v>255</v>
      </c>
      <c r="G5" s="4">
        <v>1618</v>
      </c>
      <c r="J5" s="5">
        <f>+D5</f>
        <v>2884</v>
      </c>
      <c r="K5" s="5">
        <f>-D7</f>
        <v>-456</v>
      </c>
      <c r="L5" s="5">
        <f>-F5</f>
        <v>-255</v>
      </c>
      <c r="M5" s="5">
        <f>+F7</f>
        <v>1669</v>
      </c>
      <c r="O5" s="20" t="s">
        <v>8</v>
      </c>
      <c r="P5" s="20">
        <f>SUM(J5:M5)/SUM(J6:M6)</f>
        <v>0.72986322188449848</v>
      </c>
      <c r="Q5" s="20" t="s">
        <v>8</v>
      </c>
      <c r="R5" s="20">
        <f>SUM(J5:M5)/SUM(J6:M6)</f>
        <v>0.72986322188449848</v>
      </c>
    </row>
    <row r="6" spans="1:18" x14ac:dyDescent="0.3">
      <c r="A6" s="1"/>
      <c r="B6" s="24"/>
      <c r="C6" s="1" t="s">
        <v>9</v>
      </c>
      <c r="D6" s="6">
        <v>501</v>
      </c>
      <c r="E6" s="7">
        <v>1221</v>
      </c>
      <c r="F6" s="7">
        <v>1564</v>
      </c>
      <c r="G6" s="8">
        <v>786</v>
      </c>
      <c r="I6" s="9" t="s">
        <v>10</v>
      </c>
      <c r="J6" s="1">
        <f>+D5</f>
        <v>2884</v>
      </c>
      <c r="K6" s="1">
        <f>+D7</f>
        <v>456</v>
      </c>
      <c r="L6" s="1">
        <f>+F5</f>
        <v>255</v>
      </c>
      <c r="M6" s="1">
        <f>+F7</f>
        <v>1669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>
        <v>456</v>
      </c>
      <c r="E7" s="7">
        <v>916</v>
      </c>
      <c r="F7" s="7">
        <v>1669</v>
      </c>
      <c r="G7" s="8">
        <v>1455</v>
      </c>
    </row>
    <row r="8" spans="1:18" x14ac:dyDescent="0.3">
      <c r="A8" s="1"/>
      <c r="B8" s="24"/>
      <c r="C8" s="1" t="s">
        <v>12</v>
      </c>
      <c r="D8" s="10">
        <v>2077</v>
      </c>
      <c r="E8" s="11">
        <v>1036</v>
      </c>
      <c r="F8" s="11">
        <v>331</v>
      </c>
      <c r="G8" s="12">
        <v>1811</v>
      </c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1771</v>
      </c>
      <c r="K10" s="5">
        <f>-E7</f>
        <v>-916</v>
      </c>
      <c r="L10" s="5">
        <f>-G5</f>
        <v>-1618</v>
      </c>
      <c r="M10" s="5">
        <f>+G7</f>
        <v>1455</v>
      </c>
      <c r="O10" s="20" t="s">
        <v>8</v>
      </c>
      <c r="P10" s="20">
        <f>SUM(J10:M10)/SUM(J11:M11)</f>
        <v>0.12013888888888889</v>
      </c>
      <c r="Q10" s="20" t="s">
        <v>8</v>
      </c>
      <c r="R10" s="20">
        <f>SUM(J10:M10)/SUM(J11:M11)</f>
        <v>0.12013888888888889</v>
      </c>
    </row>
    <row r="11" spans="1:18" x14ac:dyDescent="0.3">
      <c r="A11" s="1"/>
      <c r="B11" s="1"/>
      <c r="E11" s="13" t="s">
        <v>15</v>
      </c>
      <c r="F11" s="14">
        <f>P25</f>
        <v>1.7272712191746535</v>
      </c>
      <c r="J11" s="1">
        <f>+E5</f>
        <v>1771</v>
      </c>
      <c r="K11" s="1">
        <f>+E7</f>
        <v>916</v>
      </c>
      <c r="L11" s="1">
        <f>+G5</f>
        <v>1618</v>
      </c>
      <c r="M11" s="1">
        <f>+G7</f>
        <v>1455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>
        <f>R25</f>
        <v>0.98843555099720515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501</v>
      </c>
      <c r="K15" s="5">
        <f>-D8</f>
        <v>-2077</v>
      </c>
      <c r="L15" s="5">
        <f>-F6</f>
        <v>-1564</v>
      </c>
      <c r="M15" s="5">
        <f>+F8</f>
        <v>331</v>
      </c>
      <c r="O15" s="20" t="s">
        <v>8</v>
      </c>
      <c r="P15" s="20">
        <f>SUM(J15:M15)/SUM(J16:M16)</f>
        <v>-0.62799016320143086</v>
      </c>
      <c r="Q15" s="20" t="s">
        <v>8</v>
      </c>
      <c r="R15" s="20">
        <f>SUM(J15:M15)/SUM(J16:M16)</f>
        <v>-0.62799016320143086</v>
      </c>
    </row>
    <row r="16" spans="1:18" x14ac:dyDescent="0.3">
      <c r="A16" s="1"/>
      <c r="B16" s="1"/>
      <c r="J16" s="1">
        <f>+D6</f>
        <v>501</v>
      </c>
      <c r="K16" s="1">
        <f>+D8</f>
        <v>2077</v>
      </c>
      <c r="L16" s="1">
        <f>+F6</f>
        <v>1564</v>
      </c>
      <c r="M16" s="1">
        <f>+F8</f>
        <v>331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1221</v>
      </c>
      <c r="K20" s="5">
        <f>-E8</f>
        <v>-1036</v>
      </c>
      <c r="L20" s="5">
        <f>-G6</f>
        <v>-786</v>
      </c>
      <c r="M20" s="5">
        <f>+G8</f>
        <v>1811</v>
      </c>
      <c r="O20" s="20" t="s">
        <v>8</v>
      </c>
      <c r="P20" s="20">
        <f>SUM(J20:M20)/SUM(J21:M21)</f>
        <v>0.24927894519983518</v>
      </c>
      <c r="Q20" s="20" t="s">
        <v>8</v>
      </c>
      <c r="R20" s="20">
        <f>SUM(J20:M20)/SUM(J21:M21)</f>
        <v>0.24927894519983518</v>
      </c>
    </row>
    <row r="21" spans="1:18" x14ac:dyDescent="0.3">
      <c r="A21" s="1"/>
      <c r="B21" s="1"/>
      <c r="J21" s="1">
        <f>+E6</f>
        <v>1221</v>
      </c>
      <c r="K21" s="1">
        <f>+E8</f>
        <v>1036</v>
      </c>
      <c r="L21" s="1">
        <f>+G6</f>
        <v>786</v>
      </c>
      <c r="M21" s="1">
        <f>+G8</f>
        <v>1811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>
        <f>P5+P10-P15+P20</f>
        <v>1.7272712191746535</v>
      </c>
      <c r="R25" s="18">
        <f>R5-R10-R15-R20</f>
        <v>0.98843555099720515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92DE3-6BF8-4270-9233-E18C8F597F4A}">
  <dimension ref="A1:R26"/>
  <sheetViews>
    <sheetView workbookViewId="0">
      <selection activeCell="R17" sqref="R17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/>
      <c r="E5" s="3"/>
      <c r="F5" s="3"/>
      <c r="G5" s="4"/>
      <c r="J5" s="5">
        <f>+D5</f>
        <v>0</v>
      </c>
      <c r="K5" s="5">
        <f>-D7</f>
        <v>0</v>
      </c>
      <c r="L5" s="5">
        <f>-F5</f>
        <v>0</v>
      </c>
      <c r="M5" s="5">
        <f>+F7</f>
        <v>0</v>
      </c>
      <c r="O5" s="20" t="s">
        <v>8</v>
      </c>
      <c r="P5" s="20" t="e">
        <f>SUM(J5:M5)/SUM(J6:M6)</f>
        <v>#DIV/0!</v>
      </c>
      <c r="Q5" s="20" t="s">
        <v>8</v>
      </c>
      <c r="R5" s="20" t="e">
        <f>SUM(J5:M5)/SUM(J6:M6)</f>
        <v>#DIV/0!</v>
      </c>
    </row>
    <row r="6" spans="1:18" x14ac:dyDescent="0.3">
      <c r="A6" s="1"/>
      <c r="B6" s="24"/>
      <c r="C6" s="1" t="s">
        <v>9</v>
      </c>
      <c r="D6" s="6"/>
      <c r="E6" s="7"/>
      <c r="F6" s="7"/>
      <c r="G6" s="8"/>
      <c r="I6" s="9" t="s">
        <v>10</v>
      </c>
      <c r="J6" s="1">
        <f>+D5</f>
        <v>0</v>
      </c>
      <c r="K6" s="1">
        <f>+D7</f>
        <v>0</v>
      </c>
      <c r="L6" s="1">
        <f>+F5</f>
        <v>0</v>
      </c>
      <c r="M6" s="1">
        <f>+F7</f>
        <v>0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/>
      <c r="E7" s="7"/>
      <c r="F7" s="7"/>
      <c r="G7" s="8"/>
    </row>
    <row r="8" spans="1:18" x14ac:dyDescent="0.3">
      <c r="A8" s="1"/>
      <c r="B8" s="24"/>
      <c r="C8" s="1" t="s">
        <v>12</v>
      </c>
      <c r="D8" s="10"/>
      <c r="E8" s="11"/>
      <c r="F8" s="11"/>
      <c r="G8" s="12"/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0</v>
      </c>
      <c r="K10" s="5">
        <f>-E7</f>
        <v>0</v>
      </c>
      <c r="L10" s="5">
        <f>-G5</f>
        <v>0</v>
      </c>
      <c r="M10" s="5">
        <f>+G7</f>
        <v>0</v>
      </c>
      <c r="O10" s="20" t="s">
        <v>8</v>
      </c>
      <c r="P10" s="20" t="e">
        <f>SUM(J10:M10)/SUM(J11:M11)</f>
        <v>#DIV/0!</v>
      </c>
      <c r="Q10" s="20" t="s">
        <v>8</v>
      </c>
      <c r="R10" s="20" t="e">
        <f>SUM(J10:M10)/SUM(J11:M11)</f>
        <v>#DIV/0!</v>
      </c>
    </row>
    <row r="11" spans="1:18" x14ac:dyDescent="0.3">
      <c r="A11" s="1"/>
      <c r="B11" s="1"/>
      <c r="E11" s="13" t="s">
        <v>15</v>
      </c>
      <c r="F11" s="14" t="e">
        <f>P25</f>
        <v>#DIV/0!</v>
      </c>
      <c r="J11" s="1">
        <f>+E5</f>
        <v>0</v>
      </c>
      <c r="K11" s="1">
        <f>+E7</f>
        <v>0</v>
      </c>
      <c r="L11" s="1">
        <f>+G5</f>
        <v>0</v>
      </c>
      <c r="M11" s="1">
        <f>+G7</f>
        <v>0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 t="e">
        <f>R25</f>
        <v>#DIV/0!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0</v>
      </c>
      <c r="K15" s="5">
        <f>-D8</f>
        <v>0</v>
      </c>
      <c r="L15" s="5">
        <f>-F6</f>
        <v>0</v>
      </c>
      <c r="M15" s="5">
        <f>+F8</f>
        <v>0</v>
      </c>
      <c r="O15" s="20" t="s">
        <v>8</v>
      </c>
      <c r="P15" s="20" t="e">
        <f>SUM(J15:M15)/SUM(J16:M16)</f>
        <v>#DIV/0!</v>
      </c>
      <c r="Q15" s="20" t="s">
        <v>8</v>
      </c>
      <c r="R15" s="20" t="e">
        <f>SUM(J15:M15)/SUM(J16:M16)</f>
        <v>#DIV/0!</v>
      </c>
    </row>
    <row r="16" spans="1:18" x14ac:dyDescent="0.3">
      <c r="A16" s="1"/>
      <c r="B16" s="1"/>
      <c r="J16" s="1">
        <f>+D6</f>
        <v>0</v>
      </c>
      <c r="K16" s="1">
        <f>+D8</f>
        <v>0</v>
      </c>
      <c r="L16" s="1">
        <f>+F6</f>
        <v>0</v>
      </c>
      <c r="M16" s="1">
        <f>+F8</f>
        <v>0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0</v>
      </c>
      <c r="K20" s="5">
        <f>-E8</f>
        <v>0</v>
      </c>
      <c r="L20" s="5">
        <f>-G6</f>
        <v>0</v>
      </c>
      <c r="M20" s="5">
        <f>+G8</f>
        <v>0</v>
      </c>
      <c r="O20" s="20" t="s">
        <v>8</v>
      </c>
      <c r="P20" s="20" t="e">
        <f>SUM(J20:M20)/SUM(J21:M21)</f>
        <v>#DIV/0!</v>
      </c>
      <c r="Q20" s="20" t="s">
        <v>8</v>
      </c>
      <c r="R20" s="20" t="e">
        <f>SUM(J20:M20)/SUM(J21:M21)</f>
        <v>#DIV/0!</v>
      </c>
    </row>
    <row r="21" spans="1:18" x14ac:dyDescent="0.3">
      <c r="A21" s="1"/>
      <c r="B21" s="1"/>
      <c r="J21" s="1">
        <f>+E6</f>
        <v>0</v>
      </c>
      <c r="K21" s="1">
        <f>+E8</f>
        <v>0</v>
      </c>
      <c r="L21" s="1">
        <f>+G6</f>
        <v>0</v>
      </c>
      <c r="M21" s="1">
        <f>+G8</f>
        <v>0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 t="e">
        <f>P5+P10-P15+P20</f>
        <v>#DIV/0!</v>
      </c>
      <c r="R25" s="18" t="e">
        <f>R5-R10-R15-R20</f>
        <v>#DIV/0!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83F9-0BE7-40B0-B3FD-9914B78AC647}">
  <dimension ref="A1:R26"/>
  <sheetViews>
    <sheetView workbookViewId="0">
      <selection sqref="A1:T29"/>
    </sheetView>
  </sheetViews>
  <sheetFormatPr defaultRowHeight="14.4" x14ac:dyDescent="0.3"/>
  <sheetData>
    <row r="1" spans="1:18" ht="15" thickBot="1" x14ac:dyDescent="0.3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5" thickTop="1" x14ac:dyDescent="0.3"/>
    <row r="3" spans="1:18" x14ac:dyDescent="0.3">
      <c r="A3" s="1"/>
      <c r="B3" s="1"/>
      <c r="D3" s="23" t="s">
        <v>1</v>
      </c>
      <c r="E3" s="23"/>
      <c r="F3" s="23"/>
      <c r="G3" s="23"/>
    </row>
    <row r="4" spans="1:18" x14ac:dyDescent="0.3">
      <c r="A4" s="1"/>
      <c r="B4" s="1"/>
      <c r="D4" s="1" t="s">
        <v>2</v>
      </c>
      <c r="E4" s="1" t="s">
        <v>3</v>
      </c>
      <c r="F4" s="1" t="s">
        <v>4</v>
      </c>
      <c r="G4" s="1" t="s">
        <v>5</v>
      </c>
    </row>
    <row r="5" spans="1:18" ht="15" thickBot="1" x14ac:dyDescent="0.35">
      <c r="A5" s="1"/>
      <c r="B5" s="24" t="s">
        <v>6</v>
      </c>
      <c r="C5" s="1" t="s">
        <v>7</v>
      </c>
      <c r="D5" s="2"/>
      <c r="E5" s="3"/>
      <c r="F5" s="3"/>
      <c r="G5" s="4"/>
      <c r="J5" s="5">
        <f>+D5</f>
        <v>0</v>
      </c>
      <c r="K5" s="5">
        <f>-D7</f>
        <v>0</v>
      </c>
      <c r="L5" s="5">
        <f>-F5</f>
        <v>0</v>
      </c>
      <c r="M5" s="5">
        <f>+F7</f>
        <v>0</v>
      </c>
      <c r="O5" s="20" t="s">
        <v>8</v>
      </c>
      <c r="P5" s="20" t="e">
        <f>SUM(J5:M5)/SUM(J6:M6)</f>
        <v>#DIV/0!</v>
      </c>
      <c r="Q5" s="20" t="s">
        <v>8</v>
      </c>
      <c r="R5" s="20" t="e">
        <f>SUM(J5:M5)/SUM(J6:M6)</f>
        <v>#DIV/0!</v>
      </c>
    </row>
    <row r="6" spans="1:18" x14ac:dyDescent="0.3">
      <c r="A6" s="1"/>
      <c r="B6" s="24"/>
      <c r="C6" s="1" t="s">
        <v>9</v>
      </c>
      <c r="D6" s="6"/>
      <c r="E6" s="7"/>
      <c r="F6" s="7"/>
      <c r="G6" s="8"/>
      <c r="I6" s="9" t="s">
        <v>10</v>
      </c>
      <c r="J6" s="1">
        <f>+D5</f>
        <v>0</v>
      </c>
      <c r="K6" s="1">
        <f>+D7</f>
        <v>0</v>
      </c>
      <c r="L6" s="1">
        <f>+F5</f>
        <v>0</v>
      </c>
      <c r="M6" s="1">
        <f>+F7</f>
        <v>0</v>
      </c>
      <c r="O6" s="20"/>
      <c r="P6" s="20"/>
      <c r="Q6" s="20"/>
      <c r="R6" s="21"/>
    </row>
    <row r="7" spans="1:18" x14ac:dyDescent="0.3">
      <c r="A7" s="1"/>
      <c r="B7" s="24"/>
      <c r="C7" s="1" t="s">
        <v>11</v>
      </c>
      <c r="D7" s="6"/>
      <c r="E7" s="7"/>
      <c r="F7" s="7"/>
      <c r="G7" s="8"/>
    </row>
    <row r="8" spans="1:18" x14ac:dyDescent="0.3">
      <c r="A8" s="1"/>
      <c r="B8" s="24"/>
      <c r="C8" s="1" t="s">
        <v>12</v>
      </c>
      <c r="D8" s="10"/>
      <c r="E8" s="11"/>
      <c r="F8" s="11"/>
      <c r="G8" s="12"/>
      <c r="P8" s="1" t="s">
        <v>13</v>
      </c>
      <c r="Q8" s="1"/>
      <c r="R8" s="1" t="s">
        <v>14</v>
      </c>
    </row>
    <row r="9" spans="1:18" x14ac:dyDescent="0.3">
      <c r="A9" s="1"/>
      <c r="B9" s="1"/>
    </row>
    <row r="10" spans="1:18" ht="15" thickBot="1" x14ac:dyDescent="0.35">
      <c r="A10" s="1"/>
      <c r="B10" s="1"/>
      <c r="J10" s="5">
        <f>+E5</f>
        <v>0</v>
      </c>
      <c r="K10" s="5">
        <f>-E7</f>
        <v>0</v>
      </c>
      <c r="L10" s="5">
        <f>-G5</f>
        <v>0</v>
      </c>
      <c r="M10" s="5">
        <f>+G7</f>
        <v>0</v>
      </c>
      <c r="O10" s="20" t="s">
        <v>8</v>
      </c>
      <c r="P10" s="20" t="e">
        <f>SUM(J10:M10)/SUM(J11:M11)</f>
        <v>#DIV/0!</v>
      </c>
      <c r="Q10" s="20" t="s">
        <v>8</v>
      </c>
      <c r="R10" s="20" t="e">
        <f>SUM(J10:M10)/SUM(J11:M11)</f>
        <v>#DIV/0!</v>
      </c>
    </row>
    <row r="11" spans="1:18" x14ac:dyDescent="0.3">
      <c r="A11" s="1"/>
      <c r="B11" s="1"/>
      <c r="E11" s="13" t="s">
        <v>15</v>
      </c>
      <c r="F11" s="14" t="e">
        <f>P25</f>
        <v>#DIV/0!</v>
      </c>
      <c r="J11" s="1">
        <f>+E5</f>
        <v>0</v>
      </c>
      <c r="K11" s="1">
        <f>+E7</f>
        <v>0</v>
      </c>
      <c r="L11" s="1">
        <f>+G5</f>
        <v>0</v>
      </c>
      <c r="M11" s="1">
        <f>+G7</f>
        <v>0</v>
      </c>
      <c r="O11" s="20"/>
      <c r="P11" s="20"/>
      <c r="Q11" s="20"/>
      <c r="R11" s="21"/>
    </row>
    <row r="12" spans="1:18" x14ac:dyDescent="0.3">
      <c r="A12" s="1"/>
      <c r="B12" s="1"/>
      <c r="E12" s="15" t="s">
        <v>16</v>
      </c>
      <c r="F12" s="16" t="e">
        <f>R25</f>
        <v>#DIV/0!</v>
      </c>
    </row>
    <row r="13" spans="1:18" x14ac:dyDescent="0.3">
      <c r="A13" s="1"/>
      <c r="B13" s="1"/>
      <c r="P13" s="1" t="s">
        <v>14</v>
      </c>
      <c r="Q13" s="1"/>
      <c r="R13" s="1" t="s">
        <v>14</v>
      </c>
    </row>
    <row r="14" spans="1:18" x14ac:dyDescent="0.3">
      <c r="A14" s="1"/>
      <c r="B14" s="1"/>
    </row>
    <row r="15" spans="1:18" ht="15" thickBot="1" x14ac:dyDescent="0.35">
      <c r="A15" s="1"/>
      <c r="B15" s="1"/>
      <c r="J15" s="5">
        <f>+D6</f>
        <v>0</v>
      </c>
      <c r="K15" s="5">
        <f>-D8</f>
        <v>0</v>
      </c>
      <c r="L15" s="5">
        <f>-F6</f>
        <v>0</v>
      </c>
      <c r="M15" s="5">
        <f>+F8</f>
        <v>0</v>
      </c>
      <c r="O15" s="20" t="s">
        <v>8</v>
      </c>
      <c r="P15" s="20" t="e">
        <f>SUM(J15:M15)/SUM(J16:M16)</f>
        <v>#DIV/0!</v>
      </c>
      <c r="Q15" s="20" t="s">
        <v>8</v>
      </c>
      <c r="R15" s="20" t="e">
        <f>SUM(J15:M15)/SUM(J16:M16)</f>
        <v>#DIV/0!</v>
      </c>
    </row>
    <row r="16" spans="1:18" x14ac:dyDescent="0.3">
      <c r="A16" s="1"/>
      <c r="B16" s="1"/>
      <c r="J16" s="1">
        <f>+D6</f>
        <v>0</v>
      </c>
      <c r="K16" s="1">
        <f>+D8</f>
        <v>0</v>
      </c>
      <c r="L16" s="1">
        <f>+F6</f>
        <v>0</v>
      </c>
      <c r="M16" s="1">
        <f>+F8</f>
        <v>0</v>
      </c>
      <c r="O16" s="20"/>
      <c r="P16" s="20"/>
      <c r="Q16" s="20"/>
      <c r="R16" s="21"/>
    </row>
    <row r="17" spans="1:18" x14ac:dyDescent="0.3">
      <c r="A17" s="1"/>
      <c r="B17" s="1"/>
    </row>
    <row r="18" spans="1:18" x14ac:dyDescent="0.3">
      <c r="A18" s="1"/>
      <c r="B18" s="1"/>
      <c r="P18" s="1" t="s">
        <v>13</v>
      </c>
      <c r="Q18" s="1"/>
      <c r="R18" s="1" t="s">
        <v>14</v>
      </c>
    </row>
    <row r="19" spans="1:18" x14ac:dyDescent="0.3">
      <c r="A19" s="1"/>
      <c r="B19" s="1"/>
    </row>
    <row r="20" spans="1:18" ht="15" thickBot="1" x14ac:dyDescent="0.35">
      <c r="A20" s="1"/>
      <c r="B20" s="1"/>
      <c r="J20" s="5">
        <f>E6</f>
        <v>0</v>
      </c>
      <c r="K20" s="5">
        <f>-E8</f>
        <v>0</v>
      </c>
      <c r="L20" s="5">
        <f>-G6</f>
        <v>0</v>
      </c>
      <c r="M20" s="5">
        <f>+G8</f>
        <v>0</v>
      </c>
      <c r="O20" s="20" t="s">
        <v>8</v>
      </c>
      <c r="P20" s="20" t="e">
        <f>SUM(J20:M20)/SUM(J21:M21)</f>
        <v>#DIV/0!</v>
      </c>
      <c r="Q20" s="20" t="s">
        <v>8</v>
      </c>
      <c r="R20" s="20" t="e">
        <f>SUM(J20:M20)/SUM(J21:M21)</f>
        <v>#DIV/0!</v>
      </c>
    </row>
    <row r="21" spans="1:18" x14ac:dyDescent="0.3">
      <c r="A21" s="1"/>
      <c r="B21" s="1"/>
      <c r="J21" s="1">
        <f>+E6</f>
        <v>0</v>
      </c>
      <c r="K21" s="1">
        <f>+E8</f>
        <v>0</v>
      </c>
      <c r="L21" s="1">
        <f>+G6</f>
        <v>0</v>
      </c>
      <c r="M21" s="1">
        <f>+G8</f>
        <v>0</v>
      </c>
      <c r="O21" s="20"/>
      <c r="P21" s="20"/>
      <c r="Q21" s="20"/>
      <c r="R21" s="21"/>
    </row>
    <row r="22" spans="1:18" x14ac:dyDescent="0.3">
      <c r="A22" s="1"/>
      <c r="B22" s="1"/>
    </row>
    <row r="23" spans="1:18" x14ac:dyDescent="0.3">
      <c r="A23" s="1"/>
      <c r="B23" s="1"/>
      <c r="P23" s="1" t="s">
        <v>8</v>
      </c>
      <c r="Q23" s="1"/>
      <c r="R23" s="1" t="s">
        <v>8</v>
      </c>
    </row>
    <row r="24" spans="1:18" ht="15" thickBot="1" x14ac:dyDescent="0.35"/>
    <row r="25" spans="1:18" ht="15" thickBot="1" x14ac:dyDescent="0.35">
      <c r="P25" s="17" t="e">
        <f>P5+P10-P15+P20</f>
        <v>#DIV/0!</v>
      </c>
      <c r="R25" s="18" t="e">
        <f>R5-R10-R15-R20</f>
        <v>#DIV/0!</v>
      </c>
    </row>
    <row r="26" spans="1:18" x14ac:dyDescent="0.3">
      <c r="P26" s="19" t="s">
        <v>17</v>
      </c>
      <c r="R26" s="19" t="s">
        <v>18</v>
      </c>
    </row>
  </sheetData>
  <mergeCells count="19">
    <mergeCell ref="O20:O21"/>
    <mergeCell ref="P20:P21"/>
    <mergeCell ref="Q20:Q21"/>
    <mergeCell ref="R20:R21"/>
    <mergeCell ref="O10:O11"/>
    <mergeCell ref="P10:P11"/>
    <mergeCell ref="Q10:Q11"/>
    <mergeCell ref="R10:R11"/>
    <mergeCell ref="O15:O16"/>
    <mergeCell ref="P15:P16"/>
    <mergeCell ref="Q15:Q16"/>
    <mergeCell ref="R15:R16"/>
    <mergeCell ref="B1:R1"/>
    <mergeCell ref="D3:G3"/>
    <mergeCell ref="B5:B8"/>
    <mergeCell ref="O5:O6"/>
    <mergeCell ref="P5:P6"/>
    <mergeCell ref="Q5:Q6"/>
    <mergeCell ref="R5:R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88E0F5985DDB49957D87731F53E49F" ma:contentTypeVersion="4" ma:contentTypeDescription="Een nieuw document maken." ma:contentTypeScope="" ma:versionID="be35ad8a9e31712ba8c6433db0535e2d">
  <xsd:schema xmlns:xsd="http://www.w3.org/2001/XMLSchema" xmlns:xs="http://www.w3.org/2001/XMLSchema" xmlns:p="http://schemas.microsoft.com/office/2006/metadata/properties" xmlns:ns2="e1c0cfa9-944d-4967-8cf7-7ed501d0d8a3" targetNamespace="http://schemas.microsoft.com/office/2006/metadata/properties" ma:root="true" ma:fieldsID="17b6f7b656e9332f2fdd3cc12f0ea860" ns2:_="">
    <xsd:import namespace="e1c0cfa9-944d-4967-8cf7-7ed501d0d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0cfa9-944d-4967-8cf7-7ed501d0d8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1AEB8D-12D3-48DB-BF60-1F427F8F32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815C00-5ACB-470E-A0B6-2548FFF9427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E3CB613-6A50-411F-BAB2-5A72D615A6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c0cfa9-944d-4967-8cf7-7ed501d0d8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12</vt:i4>
      </vt:variant>
      <vt:variant>
        <vt:lpstr>Benoemde bereiken</vt:lpstr>
      </vt:variant>
      <vt:variant>
        <vt:i4>1</vt:i4>
      </vt:variant>
    </vt:vector>
  </HeadingPairs>
  <TitlesOfParts>
    <vt:vector size="13" baseType="lpstr">
      <vt:lpstr>Belltest1</vt:lpstr>
      <vt:lpstr>Belltest2</vt:lpstr>
      <vt:lpstr>Belltest3</vt:lpstr>
      <vt:lpstr>Belltest4</vt:lpstr>
      <vt:lpstr>Belltest5</vt:lpstr>
      <vt:lpstr>Belltest6</vt:lpstr>
      <vt:lpstr>Belltest7</vt:lpstr>
      <vt:lpstr>Belltest8</vt:lpstr>
      <vt:lpstr>Belltest9</vt:lpstr>
      <vt:lpstr>Belltest10</vt:lpstr>
      <vt:lpstr>Belltest11</vt:lpstr>
      <vt:lpstr>Belltest12</vt:lpstr>
      <vt:lpstr>Belltest1!Afdrukbereik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Jacques</dc:creator>
  <cp:keywords/>
  <dc:description/>
  <cp:lastModifiedBy>Pieter Monsieurs</cp:lastModifiedBy>
  <cp:revision>3</cp:revision>
  <dcterms:created xsi:type="dcterms:W3CDTF">2023-01-17T12:56:10Z</dcterms:created>
  <dcterms:modified xsi:type="dcterms:W3CDTF">2026-02-13T16:08:50Z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0x010100C388E0F5985DDB49957D87731F53E49F</vt:lpwstr>
  </property>
</Properties>
</file>